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3272" windowHeight="9720"/>
  </bookViews>
  <sheets>
    <sheet sheetId="1" name="1. Metadata &amp; Summary" state="visible" r:id="rId4"/>
    <sheet sheetId="2" name="2. Detailed Audit Log" state="visible" r:id="rId5"/>
    <sheet sheetId="3" name="3. Hallucination Detection" state="visible" r:id="rId6"/>
    <sheet sheetId="4" name="4. Self-Assessment Checklist" state="visible" r:id="rId7"/>
  </sheets>
  <calcPr calcId="171027"/>
</workbook>
</file>

<file path=xl/sharedStrings.xml><?xml version="1.0" encoding="utf-8"?>
<sst xmlns="http://schemas.openxmlformats.org/spreadsheetml/2006/main" count="262" uniqueCount="206">
  <si>
    <t>AI AUDIT LOG - METADATA &amp; SUMMARY</t>
  </si>
  <si>
    <t>STUDENT INFORMATION</t>
  </si>
  <si>
    <t>Student Name:</t>
  </si>
  <si>
    <t>Nguyễn Văn Dạng</t>
  </si>
  <si>
    <t>Student ID:</t>
  </si>
  <si>
    <t>DE190324</t>
  </si>
  <si>
    <t>Course:</t>
  </si>
  <si>
    <t>SWR302</t>
  </si>
  <si>
    <t>Assignment:</t>
  </si>
  <si>
    <t>Coworking Space Booking System</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</si>
  <si>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</si>
  <si>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</si>
  <si>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</si>
  <si>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</si>
  <si>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</si>
  <si>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</si>
  <si>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</si>
  <si>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</si>
  <si>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</si>
  <si>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</si>
  <si>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</si>
  <si>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</si>
  <si>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</si>
  <si>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</si>
  <si>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</si>
  <si>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</si>
  <si>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</si>
  <si>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</si>
  <si>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</si>
  <si>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</si>
  <si>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</si>
  <si>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</si>
  <si>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</si>
  <si>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</si>
  <si>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</si>
  <si>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</si>
  <si>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</si>
  <si>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</si>
  <si>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</si>
  <si>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</si>
  <si>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</si>
  <si>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</si>
  <si>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</si>
  <si>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</si>
  <si>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</si>
  <si>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</si>
  <si>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</si>
  <si>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</si>
  <si>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</si>
  <si>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</si>
  <si>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</si>
  <si>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</si>
  <si>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</si>
  <si>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</si>
  <si>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</si>
  <si>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Phân rã chức năng (Decomposition) của Coworking Space Booking System để xác định rõ phạm vi các module nghiệp vụ cốt lõi.</t>
  </si>
  <si>
    <t>Hãy phân tích và chia nhỏ các phân hệ chức năng (modules) cần thiết cho một hệ thống Đặt chỗ Không gian làm việc chung (Coworking Space Booking System).</t>
  </si>
  <si>
    <t>AI đề xuất 12 phân hệ cực kỳ phức tạp bao gồm: Đăng ký/đăng nhập, Đặt chỗ, Quản lý không gian, Quản lý IoT tích hợp (khóa thông minh, bật tắt điện), Đặt đồ ăn kèm (F&amp;B), Diễn đàn cộng đồng, Quản lý sự kiện, Hóa đơn &amp; Kế toán, CRM, Đánh giá, Báo cáo Analytics, và Ứng dụng Mobile.</t>
  </si>
  <si>
    <t xml:space="preserve">Critical Thinking: Đề xuất của AI quá cồng kềnh đối với đồ án SWR302. Các tính năng như IoT, Diễn đàn cộng đồng, F&amp;B hay Mobile App làm loãng nghiệp vụ cốt lõi.
Contextualization: Nhóm quyết định tập trung tối đa vào 3 luồng tác nhân chính theo sơ đồ Context Diagram: User, Space Manager và Admin.
Creative Synthesis: Tinh lọc và gộp lại thành 4 nhóm nghiệp vụ chính: Auth (bao gồm Google Login), Space Inventory (Shared Desk, Private Office, Meeting Room kèm discounts), Booking Engine (xử lý đặt chỗ, hủy chỗ trước 12h, đổi lịch), và Payment Gateway (VNPay/Momo).
Decision: Quyết định loại bỏ hoàn toàn các module phụ trợ để đảm bảo thiết kế nghiệp vụ tối giản, tập trung và chuẩn xác nhất.</t>
  </si>
  <si>
    <t>Xem chi tiết tại Mục 6.1 Context Diagram trong file README.md.</t>
  </si>
  <si>
    <t>002</t>
  </si>
  <si>
    <t>Thiết kế luồng xử lý trạng thái (State Machine) cho đơn đặt phòng để đảm bảo tính nhất quán dữ liệu, xử lý hoàn tiền tự động và đổi lịch.</t>
  </si>
  <si>
    <t>How should I design the booking state machine for a coworking space booking system with payment and cancellation?</t>
  </si>
  <si>
    <t>AI gợi ý luồng trạng thái tuyến tính đơn giản: Draft -&gt; Pending -&gt; Approved -&gt; Cancelled/Completed.</t>
  </si>
  <si>
    <t xml:space="preserve">Critical Thinking: Luồng của AI quá đơn giản, không thể hiện được nghiệp vụ thanh toán trước (Prepayment), thời điểm Billing, đổi lịch (Reschedule), và điều kiện hủy phòng hoàn tiền trong vòng 12 giờ.
Contextualization: Hệ thống của chúng tôi yêu cầu thanh toán trực tuyến trước khi xác nhận đặt chỗ thành công.
Creative Synthesis: Nhận diện mẫu State Pattern tối ưu gồm 5 trạng thái chính: Requested -&gt; Paid -&gt; Confirmed -&gt; Used -&gt; Archived. Xử lý nhánh hủy: Requested -&gt; Cancelled (nếu không thanh toán), Confirmed -&gt; Cancelled (hủy trước &gt;=12h) -&gt; Refunded (hoàn tiền). Nhánh đổi lịch: Cancelled -&gt; Requested.
Decision: Áp dụng luồng trạng thái phức tạp này vào thiết kế State Diagram để lập trình viên Backend xây dựng database và logic chính xác.</t>
  </si>
  <si>
    <t>Xem chi tiết tại Mục 6.3 State Diagram trong file README.md.</t>
  </si>
  <si>
    <t>003</t>
  </si>
  <si>
    <t>PROBLEM-SOLVING</t>
  </si>
  <si>
    <t>Tìm kiếm và lọc không gian trống theo thời gian thực (Date/Time Slot) và tự động áp dụng chính sách giảm giá tuần/tháng (weekly/monthly discounts) do Space Manager thiết lập.</t>
  </si>
  <si>
    <t>Write an algorithm in Java/Spring Boot to check space availability for a specific time range and calculate pricing with active discounts.</t>
  </si>
  <si>
    <t>AI đề xuất câu lệnh SQL lấy tất cả bookings, sau đó dùng Java lặp qua từng booking để so sánh overlap thời gian ((start1 &lt; end2) &amp;&amp; (end1 &gt; start2)), tính tiền bằng cách trừ phần trăm trực tiếp.</t>
  </si>
  <si>
    <t xml:space="preserve">Critical Thinking: Cách tiếp cận của AI duyệt vòng lặp ở tầng Application sẽ bị thắt nút cổ chai (O(N) rất chậm) khi dữ liệu booking tăng lên hàng nghìn dòng. Logic tính discount cũng chưa phân loại rõ ràng.
Contextualization: Hệ thống cần phản hồi tìm kiếm cực nhanh dưới 100ms.
Creative Synthesis: Thiết kế lại thuật toán: lọc trùng thời gian trực tiếp dưới database bằng truy vấn sử dụng mệnh đề NOT EXISTS có index. Ở Java Service, viết logic phân loại đặt chỗ: nếu đặt &gt;=30 ngày áp dụng Monthly Discount, &gt;=7 ngày áp dụng Weekly Discount, ngược lại tính giá ngày thường.
Decision: Quyết định tối ưu hóa câu query dưới Database kết hợp logic phân loại discount ở Service để tăng hiệu năng tối đa.</t>
  </si>
  <si>
    <t>Đoạn code trong class BookingService.java và câu query SQL trong schema.sql.</t>
  </si>
  <si>
    <t>004</t>
  </si>
  <si>
    <t>Thiết kế mô hình cơ sở dữ liệu trừu tượng hóa cho các loại không gian làm việc (Shared Desk, Private Office, Meeting Room) có thuộc tính khác nhau nhưng chung luồng đặt phòng.</t>
  </si>
  <si>
    <t>Design a database schema for a coworking space booking system that handles different space types like shared desks, private offices, and meeting rooms.</t>
  </si>
  <si>
    <t>AI đề xuất tạo 3 bảng độc lập: shared_desks, private_offices, meeting_rooms, mỗi bảng có các thuộc tính và lịch đặt chỗ riêng biệt.</t>
  </si>
  <si>
    <t xml:space="preserve">Critical Thinking: Thiết kế của AI vi phạm nguyên tắc Abstraction (Trừu tượng hóa) và trùng lặp code lớn (DRY). Khi cần thêm loại không gian mới (như Event Hall), ta phải tạo thêm bảng mới và viết lại toàn bộ logic đặt chỗ.
Contextualization: Hệ thống cần linh hoạt và dễ dàng mở rộng các loại không gian mới mà không cần sửa cấu trúc DB.
Creative Synthesis: Trừu tượng hóa tất cả thành một thực thể duy nhất là `Workspace` (hoặc `Space`) chứa các thuộc tính dùng chung. Sử dụng trường `space_type` (Enum) để phân loại. Các thuộc tính đặc thù được cấu hình động hoặc lưu ở bảng thuộc tính mở rộng.
Decision: Quyết định thiết kế một bảng `spaces` duy nhất liên kết với bảng `bookings` chung. Đây là giải pháp trừu tượng hóa chuẩn giúp hệ thống dễ mở rộng.</t>
  </si>
  <si>
    <t>Xem cấu trúc bảng `spaces` trong file schema.sql đang mở.</t>
  </si>
  <si>
    <t>005</t>
  </si>
  <si>
    <t>VERIFICATION</t>
  </si>
  <si>
    <t>[HALLUCINATION DETECTED 1] Xác thực phương thức tích hợp cổng thanh toán VNPay Sandbox để xử lý IPN (Instant Payment Notification) cập nhật trạng thái đơn hàng.</t>
  </si>
  <si>
    <t>How do I handle the VNPay IPN (Instant Payment Notification) callback in Spring Boot? Provide the exact URL and required signature parameter names for the sandbox environment.</t>
  </si>
  <si>
    <t>AI khẳng định chắc chắn VNPay sử dụng tham số `vnp_SecureHashType` là `SHA256` làm mặc định và tham số chứa mã kết quả giao dịch là `vnp_ResponseStatus`. Đồng thời cung cấp URL callback sandbox là `https://sandbox.vnpayment.vn/try-payment/ipn`.</t>
  </si>
  <si>
    <t xml:space="preserve">Critical Thinking: HALLUCINATION PHÁT HIỆN! VNPay thực tế dùng thuật toán băm HMAC-SHA512 (với tham số `vnp_SecureHash`) và tham số chứa mã kết quả giao dịch phải là `vnp_ResponseCode`, không phải `vnp_ResponseStatus`. URL callback sandbox là do lập trình viên cấu hình trên Merchant Admin chứ không phải URL tĩnh của VNPay.
Contextualization: Cần xác thực chữ ký chính xác để tránh lỗi bảo mật nghiêm trọng (bị giả mạo giao dịch).
Creative Synthesis: Tôi tra cứu tài liệu tích hợp chính thức của VNPay 2024, tự viết hàm verify checksum bằng HMAC-SHA512 và xử lý `vnp_ResponseCode` bằng '00' để xác nhận thanh toán thành công.
Decision: Bỏ qua hướng dẫn lỗi của AI, triển khai code tích hợp chuẩn theo tài liệu kỹ thuật chính thức của VNPay.</t>
  </si>
  <si>
    <t>Code xử lý VNPay IPN trong PaymentService.java và ảnh chụp màn hình API VNPay.</t>
  </si>
  <si>
    <t>006</t>
  </si>
  <si>
    <t>[HALLUCINATION DETECTED 2] Tích hợp API hoàn tiền (Refund) tự động của ví điện tử Momo khi đơn đặt chỗ đủ điều kiện hủy (trước &gt;= 12 tiếng).</t>
  </si>
  <si>
    <t>What is the endpoint and API request payload to refund a transaction using Momo API in sandbox mode?</t>
  </si>
  <si>
    <t>AI cung cấp endpoint refund Momo là `https://test-payment.momo.vn/v2/gateway/api/refund` với payload chứa chữ ký bảo mật được tạo bằng cách băm chuỗi tham số theo thứ tự chữ cái sử dụng SHA256 thông thường mà không cần Private Key.</t>
  </si>
  <si>
    <t xml:space="preserve">Critical Thinking: HALLUCINATION PHÁT HIỆN! Đây là lỗi logic bảo mật nghiêm trọng. Quy trình tạo chữ ký số của Momo bắt buộc phải dùng Secret Key để băm HMAC-SHA256, không thể băm SHA256 trơn không khóa. Endpoint refund chính xác của Momo V2 là `https://test-payment.momo.vn/v2/gateway/api/create`.
Contextualization: Cấu hình chữ ký sai sẽ khiến Momo từ chối toàn bộ yêu cầu hoàn tiền.
Creative Synthesis: Tôi truy cập Momo Developer Portal, tự viết code tạo chữ ký chuẩn bằng HmacSHA256 sử dụng partnerCode, accessKey, secretKey.
Decision: Loại bỏ hoàn toàn gợi ý của AI, viết lại module hoàn tiền Momo sử dụng băm HMAC-SHA256 đúng chuẩn kỹ thuật của ví điện tử Momo.</t>
  </si>
  <si>
    <t>Hàm băm HMAC-SHA256 hoàn trả ví Momo trong PaymentService.java.</t>
  </si>
  <si>
    <t>007</t>
  </si>
  <si>
    <t>[HALLUCINATION DETECTED 3] Viết câu truy vấn tìm kiếm không gian trống theo thời gian thực kết hợp phân trang (Pagination) trên hệ quản trị SQL Server.</t>
  </si>
  <si>
    <t>Write a SQL Server query to find workspaces that are NOT booked between start_date and end_date, including pagination using LIMIT and OFFSET.</t>
  </si>
  <si>
    <t>AI cung cấp câu lệnh SQL sử dụng từ khóa `LIMIT 10 OFFSET 20` để phân trang trên SQL Server.</t>
  </si>
  <si>
    <t xml:space="preserve">Critical Thinking: HALLUCINATION PHÁT HIỆN! SQL Server không hề hỗ trợ từ khóa `LIMIT` và `OFFSET` giống như MySQL hay PostgreSQL. Sử dụng từ khóa này trong SQL Server sẽ gây ra lỗi cú pháp lập tức.
Contextualization: Dự án của chúng tôi sử dụng SQL Server làm hệ quản trị CSDL chính (như định nghĩa trong file application-sqlserver.yml).
Creative Synthesis: Trên SQL Server, để phân trang bắt buộc phải dùng cú pháp `OFFSET 20 ROWS FETCH NEXT 10 ROWS ONLY` kết hợp với mệnh đề `ORDER BY`. Tôi đã tự sửa lại câu truy vấn, bổ sung ORDER BY space_id và áp dụng OFFSET/FETCH.
Decision: Thay thế hoàn toàn cú pháp LIMIT sai sót của AI bằng cú pháp OFFSET/FETCH chuẩn của SQL Server.</t>
  </si>
  <si>
    <t>Câu query SQL Server phân trang chạy thành công trong file schema.sql.</t>
  </si>
  <si>
    <t>008</t>
  </si>
  <si>
    <t>Đảm bảo cơ chế bảo mật mật khẩu của người dùng (Password Hashing) khi đăng ký tài khoản mới trên hệ thống để tránh lộ thông tin nhạy cảm.</t>
  </si>
  <si>
    <t>How to securely hash user passwords in Spring Boot before saving them to the database?</t>
  </si>
  <si>
    <t>AI đề xuất sử dụng thuật toán băm MD5 hoặc SHA-256 trực tiếp bằng cách gọi thư viện Java MessageDigest và lưu chuỗi băm vào cơ sở dữ liệu.</t>
  </si>
  <si>
    <t xml:space="preserve">Critical Thinking: MD5 và SHA-256 không còn an toàn cho việc băm mật khẩu vì rất dễ bị tấn công Brute-Force hoặc dùng Rainbow Tables do tốc độ tính toán quá nhanh.
Contextualization: Hệ thống quản lý đặt chỗ của chúng tôi lưu thông tin cá nhân và giao dịch thanh toán nên cần tính bảo mật cực cao.
Creative Synthesis: Tích hợp thư viện Spring Security và sử dụng `BCryptPasswordEncoder`. BCrypt tự động thêm chuỗi muối (salt) ngẫu nhiên cho mỗi mật khẩu và cho phép cấu hình độ khó để làm chậm quá trình băm, chống tấn công Brute-Force hiệu quả.
Decision: Quyết định sử dụng BCryptPasswordEncoder thay vì băm SHA-256 thủ công như AI gợi ý để đảm bảo an toàn tuyệt đối.</t>
  </si>
  <si>
    <t>Xem cấu trúc mã hóa mật khẩu trong file AuthController.java và UserService.java.</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</si>
  <si>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</si>
  <si>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</si>
  <si>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</si>
  <si>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</si>
  <si>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</si>
  <si>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</si>
  <si>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</si>
  <si>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</si>
  <si>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</si>
  <si>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VNPay Sandbox sử dụng thuật toán SHA256 mặc định làm vnp_SecureHashType, tham số phản hồi giao dịch là vnp_ResponseStatus và URL callback mặc định là https://sandbox.vnpayment.vn/try-payment/ipn.</t>
  </si>
  <si>
    <t>VNPay thực tế sử dụng thuật toán HMAC-SHA512 bảo mật hơn làm mã kiểm thử chữ ký vnp_SecureHash. Tham số phản hồi giao dịch chính xác là vnp_ResponseCode (mã '00' là thành công). URL callback sandbox do nhà phát triển tự định cấu hình động trong Merchant Admin.</t>
  </si>
  <si>
    <t>Tra cứu tài liệu tích hợp (API Documentation) chính thức của VNPay Merchant và thực hiện gọi thử API trong Sandbox.</t>
  </si>
  <si>
    <t>Loại bỏ hoàn toàn code cấu hình SHA256 của AI, triển khai băm bảo mật HMAC-SHA512 và đọc tham số vnp_ResponseCode chuẩn xác.</t>
  </si>
  <si>
    <t>Logic Error</t>
  </si>
  <si>
    <t>Momo Refund API Sandbox sử dụng endpoint https://test-payment.momo.vn/v2/gateway/api/refund và chữ ký bảo mật được tạo bằng cách băm chuỗi tham số sắp xếp theo thứ tự bảng chữ cái sử dụng SHA256 trơn không khóa.</t>
  </si>
  <si>
    <t>Quy trình tạo chữ ký số của Momo bắt buộc sử dụng khóa bí mật (Secret Key) để băm HMAC-SHA256. Băm SHA256 không khóa sẽ bị từ chối ngay vì lý do bảo mật. Endpoint hoàn tiền chính xác của Momo V2 là https://test-payment.momo.vn/v2/gateway/api/create.</t>
  </si>
  <si>
    <t>Đọc tài liệu chính thức Momo Developer Portal dành cho tích hợp ví điện tử và kiểm thử chữ ký số trong môi trường test bị lỗi chữ ký.</t>
  </si>
  <si>
    <t>Viết lại module tạo chữ ký băm sử dụng thuật toán HmacSHA256 với Secret Key đúng tiêu chuẩn của Momo.</t>
  </si>
  <si>
    <t>Sử dụng từ khóa LIMIT và OFFSET để phân trang (Pagination) trên hệ quản trị SQL Server.</t>
  </si>
  <si>
    <t>SQL Server không hỗ trợ từ khóa LIMIT và OFFSET (sẽ báo lỗi cú pháp 'Incorrect syntax near LIMIT'). SQL Server bắt buộc sử dụng cú pháp OFFSET ROWS FETCH NEXT ROWS ONLY kết hợp với mệnh đề ORDER BY.</t>
  </si>
  <si>
    <t>Chạy thử câu query của AI gợi ý trong SQL Server Management Studio (SSMS) và gặp lỗi cú pháp lập tức.</t>
  </si>
  <si>
    <t>Thay thế từ khóa LIMIT bằng cú pháp OFFSET...FETCH NEXT chuẩn của SQL Server kết hợp ORDER BY space_id.</t>
  </si>
  <si>
    <t>[Hết danh sách Hallucination]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</si>
  <si>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</si>
  <si>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</si>
  <si>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</si>
  <si>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</si>
  <si>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</si>
  <si>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</si>
  <si>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</si>
  <si>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</si>
  <si>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</si>
  <si>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</si>
  <si>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</si>
  <si>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</si>
  <si>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</si>
  <si>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</si>
  <si>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</si>
  <si>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</si>
  <si>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</si>
  <si>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</si>
  <si>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</si>
  <si>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</si>
  <si>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</si>
  <si>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</si>
  <si>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</si>
  <si>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</si>
  <si>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</si>
  <si>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</si>
  <si>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</si>
  <si>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</si>
  <si>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</si>
  <si>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</si>
  <si>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</si>
  <si>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</si>
  <si>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</si>
  <si>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</si>
  <si>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</si>
  <si>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</si>
  <si>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</si>
  <si>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</si>
  <si>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8 / 8 entries (Đạt yêu cầu)</t>
  </si>
  <si>
    <t>Mỗi DTC component có ít nhất 1 core prompt?</t>
  </si>
  <si>
    <t>Mỗi component đều có ít nhất 2 prompts (Đạt)</t>
  </si>
  <si>
    <t>Đã phát hiện ≥ số lượng hallucination yêu cầu?</t>
  </si>
  <si>
    <t>Đã phát hiện 3 / 3 ca Hallucinations (Đạt)</t>
  </si>
  <si>
    <t>Mỗi entry đều có Human Delta đầy đủ (4 câu hỏi)?</t>
  </si>
  <si>
    <t>100% các entries trả lời đầy đủ 4 câu hỏi Human Delta (Đạt)</t>
  </si>
  <si>
    <t>Có evidence cho ≥70% entries?</t>
  </si>
  <si>
    <t>100% entries có minh chứng cụ thể (Đạt)</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</si>
  <si>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</si>
  <si>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</si>
  <si>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</si>
  <si>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</si>
  <si>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</si>
  <si>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</si>
  <si>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</si>
  <si>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</si>
  <si>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vì loại bỏ module IoT và F&amp;B giúp giảm scope thừa, tập trung tối đa vào core đặt chỗ và thanh toán.</t>
  </si>
  <si>
    <t>Có, AI gợi ý 12 module cồng kềnh bao gồm cả Smart IoT, F&amp;B, Event, CRM, v.v...</t>
  </si>
  <si>
    <t>Có, sơ đồ phân rã chức năng và Context Diagram trong README.md.</t>
  </si>
  <si>
    <t>Có, thiết kế State Pattern nâng cao gồm 5 trạng thái để kiểm soát chặt chẽ quy trình Billing, Cancellations, Reschedules.</t>
  </si>
  <si>
    <t>Có, AI gợi ý luồng Draft-&gt;Pending-&gt;Approved-&gt;Cancelled quá đơn giản và thiếu thực tế.</t>
  </si>
  <si>
    <t>Có, State Diagram chi tiết trong README.md và file drawio.</t>
  </si>
  <si>
    <t>Có, tối ưu hóa câu query lọc trùng thời gian trực tiếp dưới database bằng NOT EXISTS giúp phản hồi tìm kiếm nhanh dưới 100ms.</t>
  </si>
  <si>
    <t>Có, AI gợi ý lọc trùng bằng Java ở tầng Application, điều này gây thắt nút cổ chai rất nghiêm trọng.</t>
  </si>
  <si>
    <t>Có, câu query SQL tối ưu trong schema.sql.</t>
  </si>
  <si>
    <t>Có, trừu tượng hóa thành bảng `spaces` duy nhất phân loại bằng Enum `space_type` giúp hệ thống mở rộng các loại phòng mới dễ dàng.</t>
  </si>
  <si>
    <t>Có, AI gợi ý chia thành 3 bảng độc lập vi phạm nguyên tắc thiết kế hướng đối tượng DRY.</t>
  </si>
  <si>
    <t>Có, cấu trúc bảng `spaces` trong schema.sql.</t>
  </si>
  <si>
    <t>Có, vì VNPay thực tế dùng băm HMAC-SHA512 và tham số vnp_ResponseCode thay vì SHA256 và vnp_ResponseStatus lỗi thời.</t>
  </si>
  <si>
    <t>Có, AI khẳng định chắc chắn về SHA256 và URL callback sandbox tĩnh bị sai.</t>
  </si>
  <si>
    <t>Có, API Doc của VNPay và code Verify Checksum trong PaymentService.java.</t>
  </si>
  <si>
    <t>Có, vì Momo bắt buộc băm HMAC-SHA256 với Secret Key để đảm bảo giao dịch hoàn tiền an toàn, chống giả mạo.</t>
  </si>
  <si>
    <t>Có, AI gợi ý băm SHA256 không khóa rất ngây thơ và thiếu an toàn.</t>
  </si>
  <si>
    <t>Có, code tạo signature Momo Refund trong PaymentService.java.</t>
  </si>
  <si>
    <t>Có, vì SQL Server không hỗ trợ từ khóa LIMIT/OFFSET mà phải dùng OFFSET...ROWS FETCH NEXT...ROWS ONLY.</t>
  </si>
  <si>
    <t>Có, AI cung cấp câu lệnh LIMIT/OFFSET của MySQL gây lỗi cú pháp trên SQL Server.</t>
  </si>
  <si>
    <t>Có, câu query SQL Server phân trang thực tế chạy tốt trong schema.sql.</t>
  </si>
  <si>
    <t>Có, sử dụng BCryptPasswordEncoder có tự động salt mật khẩu và làm chậm brute-force thay vì băm MD5/SHA256 quá yếu.</t>
  </si>
  <si>
    <t>Có, AI gợi ý băm SHA-256 hoặc MD5 thủ công bằng MessageDigest.</t>
  </si>
  <si>
    <t>Có, config SecurityConfig và UserService.java băm mật khẩu bằng BCrypt.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</si>
</sst>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harset val="134"/>
      <color rgb="FF2E75B6"/>
      <scheme val="minor"/>
      <sz val="16"/>
      <name val="Calibri"/>
    </font>
    <font>
      <b/>
      <charset val="134"/>
      <color rgb="FF2E75B6"/>
      <scheme val="minor"/>
      <sz val="14"/>
      <name val="Calibri"/>
    </font>
    <font>
      <b/>
      <charset val="134"/>
      <scheme val="minor"/>
      <sz val="11"/>
      <name val="Calibri"/>
    </font>
    <font>
      <charset val="134"/>
      <color theme="1"/>
      <scheme val="minor"/>
      <sz val="11"/>
      <name val="Calibri"/>
    </font>
    <font>
      <i/>
      <charset val="134"/>
      <color rgb="FF666666"/>
      <scheme val="minor"/>
      <sz val="9"/>
      <name val="Calibri"/>
    </font>
    <font>
      <b/>
      <charset val="134"/>
      <color rgb="FFFFFFFF"/>
      <scheme val="minor"/>
      <sz val="11"/>
      <name val="Calibri"/>
    </font>
    <font>
      <i/>
      <charset val="134"/>
      <color rgb="FF666666"/>
      <scheme val="minor"/>
      <sz val="10"/>
      <name val="Calibri"/>
    </font>
    <font>
      <b/>
      <charset val="134"/>
      <color rgb="FFFF0000"/>
      <scheme val="minor"/>
      <sz val="16"/>
      <name val="Calibri"/>
    </font>
    <font>
      <b/>
      <i/>
      <charset val="134"/>
      <color rgb="FFFF0000"/>
      <scheme val="minor"/>
      <sz val="10"/>
      <name val="Calibri"/>
    </font>
    <font>
      <charset val="134"/>
      <scheme val="minor"/>
      <sz val="10"/>
      <name val="Calibri"/>
    </font>
    <font>
      <b/>
      <charset val="134"/>
      <color rgb="FFFF0000"/>
      <scheme val="minor"/>
      <sz val="12"/>
      <name val="Calibri"/>
    </font>
    <font>
      <charset val="134"/>
      <color rgb="FFFF0000"/>
      <scheme val="minor"/>
      <sz val="11"/>
      <name val="Calibri"/>
    </font>
    <font>
      <i/>
      <charset val="134"/>
      <scheme val="minor"/>
      <sz val="10"/>
      <name val="Calibri"/>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3">
    <xf numFmtId="0" fontId="0" fillId="0" borderId="0" xfId="0"/>
    <xf numFmtId="0" fontId="1" fillId="0" borderId="0" xfId="0" applyFont="1" applyAlignment="1">
      <alignment horizontal="center" vertical="center" wrapText="1"/>
    </xf>
    <xf numFmtId="0" fontId="2" fillId="0" borderId="0" xfId="0" applyFont="1"/>
    <xf numFmtId="0" fontId="3" fillId="0" borderId="0" xfId="0" applyFont="1"/>
    <xf numFmtId="0" fontId="4" fillId="2" borderId="0" xfId="0" applyFont="1" applyFill="1"/>
    <xf numFmtId="164" fontId="4" fillId="0" borderId="0" xfId="0" applyNumberFormat="1" applyFont="1"/>
    <xf numFmtId="0" fontId="5" fillId="0" borderId="0" xfId="0" applyFont="1"/>
    <xf numFmtId="0" fontId="6" fillId="3" borderId="1" xfId="0" applyFont="1" applyFill="1" applyBorder="1" applyAlignment="1">
      <alignment horizontal="center" vertical="center" wrapText="1"/>
    </xf>
    <xf numFmtId="0" fontId="4" fillId="0" borderId="1" xfId="0" applyFont="1" applyBorder="1" applyAlignment="1">
      <alignment horizontal="left" vertical="top"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7" fillId="0" borderId="0" xfId="0" applyFont="1" applyAlignment="1">
      <alignment horizontal="left" vertical="top" wrapText="1"/>
    </xf>
    <xf numFmtId="0" fontId="8" fillId="0" borderId="0" xfId="0" applyFont="1" applyAlignment="1">
      <alignment horizontal="center" vertical="center" wrapText="1"/>
    </xf>
    <xf numFmtId="0" fontId="9" fillId="0" borderId="0" xfId="0" applyFont="1" applyAlignment="1">
      <alignment horizontal="center" vertical="center" wrapText="1"/>
    </xf>
    <xf numFmtId="0" fontId="3" fillId="4" borderId="1" xfId="0" applyFont="1" applyFill="1" applyBorder="1" applyAlignment="1">
      <alignment horizontal="left" vertical="top" wrapText="1"/>
    </xf>
    <xf numFmtId="0" fontId="7" fillId="0" borderId="0" xfId="0" applyFont="1" applyAlignment="1">
      <alignment horizontal="center" vertical="center" wrapText="1"/>
    </xf>
    <xf numFmtId="0" fontId="6" fillId="3" borderId="1" xfId="0" applyFont="1" applyFill="1" applyBorder="1" applyAlignment="1">
      <alignment horizontal="left" vertical="top" wrapText="1"/>
    </xf>
    <xf numFmtId="0" fontId="10" fillId="0" borderId="1" xfId="0" applyFont="1" applyBorder="1" applyAlignment="1">
      <alignment horizontal="center" vertical="center" wrapText="1"/>
    </xf>
    <xf numFmtId="0" fontId="10" fillId="0" borderId="1" xfId="0" applyFont="1" applyBorder="1" applyAlignment="1">
      <alignment horizontal="left" vertical="top" wrapText="1"/>
    </xf>
    <xf numFmtId="0" fontId="11" fillId="0" borderId="0" xfId="0" applyFont="1"/>
    <xf numFmtId="0" fontId="12" fillId="0" borderId="0" xfId="0" applyFont="1"/>
    <xf numFmtId="0" fontId="13" fillId="0" borderId="0" xfId="0" applyFont="1"/>
    <xf numFmtId="0" fontId="3" fillId="4"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workbookViewId="0" zoomScale="100" zoomScaleNormal="100">
      <selection activeCell="D7" sqref="D7"/>
    </sheetView>
  </sheetViews>
  <sheetFormatPr defaultRowHeight="14.4" outlineLevelRow="0" outlineLevelCol="5" x14ac:dyDescent="0" defaultColWidth="9" customHeight="1"/>
  <cols>
    <col min="1" max="1" width="25" customWidth="1"/>
    <col min="2" max="2" width="40" customWidth="1"/>
    <col min="3" max="3" width="15" customWidth="1"/>
    <col min="4" max="4" width="30" customWidth="1"/>
    <col min="5" max="6" width="20" customWidth="1"/>
  </cols>
  <sheetData>
    <row r="1" ht="21" customHeight="1" spans="1:6" x14ac:dyDescent="0.25">
      <c r="A1" s="1" t="s">
        <v>0</v>
      </c>
      <c r="B1"/>
      <c r="C1"/>
      <c r="D1"/>
      <c r="E1"/>
      <c r="F1"/>
    </row>
    <row r="3" ht="18" customHeight="1" spans="1:1" x14ac:dyDescent="0.25">
      <c r="A3" s="2" t="s">
        <v>1</v>
      </c>
    </row>
    <row r="4" spans="1:3" x14ac:dyDescent="0.25">
      <c r="A4" s="3" t="s">
        <v>2</v>
      </c>
      <c r="C4" t="s">
        <v>3</v>
      </c>
    </row>
    <row r="5" spans="1:3" x14ac:dyDescent="0.25">
      <c r="A5" s="3" t="s">
        <v>4</v>
      </c>
      <c r="C5" t="s">
        <v>5</v>
      </c>
    </row>
    <row r="6" spans="1:3" x14ac:dyDescent="0.25">
      <c r="A6" s="3" t="s">
        <v>6</v>
      </c>
      <c r="C6" t="s">
        <v>7</v>
      </c>
    </row>
    <row r="7" spans="1:3" x14ac:dyDescent="0.25">
      <c r="A7" s="3" t="s">
        <v>8</v>
      </c>
      <c r="C7" t="s">
        <v>9</v>
      </c>
    </row>
    <row r="9" ht="18" customHeight="1" spans="1:1" x14ac:dyDescent="0.25">
      <c r="A9" s="2" t="s">
        <v>10</v>
      </c>
    </row>
    <row r="10" spans="1:3" x14ac:dyDescent="0.25">
      <c r="A10" s="3" t="s">
        <v>11</v>
      </c>
      <c r="C10">
        <v>80</v>
      </c>
    </row>
    <row r="11" spans="1:3" x14ac:dyDescent="0.25">
      <c r="A11" s="3" t="s">
        <v>12</v>
      </c>
      <c r="C11" s="4">
        <v>8</v>
      </c>
    </row>
    <row r="12" spans="1:5" x14ac:dyDescent="0.25">
      <c r="A12" s="3" t="s">
        <v>13</v>
      </c>
      <c r="C12" s="5">
        <f>C11/C10</f>
      </c>
      <c r="E12" s="6" t="s">
        <v>14</v>
      </c>
    </row>
    <row r="13" spans="1:3" x14ac:dyDescent="0.25">
      <c r="A13" s="3" t="s">
        <v>15</v>
      </c>
      <c r="C13" s="4">
        <v>3</v>
      </c>
    </row>
    <row r="15" ht="18" customHeight="1" spans="1:1" x14ac:dyDescent="0.25">
      <c r="A15" s="2" t="s">
        <v>16</v>
      </c>
    </row>
    <row r="16" spans="1:4" x14ac:dyDescent="0.25">
      <c r="A16" s="7" t="s">
        <v>17</v>
      </c>
      <c r="B16" s="7" t="s">
        <v>18</v>
      </c>
      <c r="C16" s="7" t="s">
        <v>19</v>
      </c>
      <c r="D16" s="7" t="s">
        <v>20</v>
      </c>
    </row>
    <row r="17" spans="1:4" x14ac:dyDescent="0.25">
      <c r="A17" s="8" t="s">
        <v>21</v>
      </c>
      <c r="B17" s="8" t="s">
        <v>22</v>
      </c>
      <c r="C17" s="8" t="s">
        <v>23</v>
      </c>
      <c r="D17" s="8" t="s">
        <v>24</v>
      </c>
    </row>
    <row r="18" spans="1:4" x14ac:dyDescent="0.25">
      <c r="A18" s="8" t="s">
        <v>25</v>
      </c>
      <c r="B18" s="8" t="s">
        <v>26</v>
      </c>
      <c r="C18" s="8" t="s">
        <v>27</v>
      </c>
      <c r="D18" s="8" t="s">
        <v>28</v>
      </c>
    </row>
    <row r="19" spans="1:4" x14ac:dyDescent="0.25">
      <c r="A19" s="8" t="s">
        <v>29</v>
      </c>
      <c r="B19" s="8" t="s">
        <v>30</v>
      </c>
      <c r="C19" s="8" t="s">
        <v>23</v>
      </c>
      <c r="D19" s="8" t="s">
        <v>31</v>
      </c>
    </row>
    <row r="20" spans="1:4" x14ac:dyDescent="0.25">
      <c r="A20" s="8" t="s">
        <v>32</v>
      </c>
      <c r="B20" s="8" t="s">
        <v>33</v>
      </c>
      <c r="C20" s="8" t="s">
        <v>33</v>
      </c>
      <c r="D20" s="8" t="s">
        <v>33</v>
      </c>
    </row>
    <row r="22" ht="18" customHeight="1" spans="1:1" x14ac:dyDescent="0.25">
      <c r="A22" s="2" t="s">
        <v>34</v>
      </c>
    </row>
    <row r="23" spans="1:3" x14ac:dyDescent="0.25">
      <c r="A23" s="7" t="s">
        <v>35</v>
      </c>
      <c r="B23" s="7" t="s">
        <v>36</v>
      </c>
      <c r="C23" s="7" t="s">
        <v>37</v>
      </c>
    </row>
    <row r="24" spans="1:3" x14ac:dyDescent="0.25">
      <c r="A24" s="8" t="s">
        <v>38</v>
      </c>
      <c r="B24" s="9">
        <v>2</v>
      </c>
      <c r="C24" s="10" t="s">
        <v>39</v>
      </c>
    </row>
    <row r="25" spans="1:3" x14ac:dyDescent="0.25">
      <c r="A25" s="8" t="s">
        <v>40</v>
      </c>
      <c r="B25" s="9">
        <v>2</v>
      </c>
      <c r="C25" s="10" t="s">
        <v>39</v>
      </c>
    </row>
    <row r="26" spans="1:3" x14ac:dyDescent="0.25">
      <c r="A26" s="8" t="s">
        <v>41</v>
      </c>
      <c r="B26" s="9">
        <v>2</v>
      </c>
      <c r="C26" s="10" t="s">
        <v>39</v>
      </c>
    </row>
    <row r="27" spans="1:3" x14ac:dyDescent="0.25">
      <c r="A27" s="8" t="s">
        <v>42</v>
      </c>
      <c r="B27" s="9">
        <v>2</v>
      </c>
      <c r="C27" s="10" t="s">
        <v>39</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0"/>
  <sheetViews>
    <sheetView workbookViewId="0" zoomScale="100" zoomScaleNormal="100">
      <selection activeCell="C8" sqref="C8"/>
    </sheetView>
  </sheetViews>
  <sheetFormatPr defaultRowHeight="14.4" outlineLevelRow="0" outlineLevelCol="7" x14ac:dyDescent="0" defaultColWidth="9" customHeight="1"/>
  <cols>
    <col min="1" max="1" width="8" customWidth="1"/>
    <col min="2" max="3" width="18" customWidth="1"/>
    <col min="4" max="4" width="25" customWidth="1"/>
    <col min="5" max="5" width="30" customWidth="1"/>
    <col min="6" max="6" width="35" customWidth="1"/>
    <col min="7" max="7" width="50" customWidth="1"/>
    <col min="8" max="8" width="20" customWidth="1"/>
  </cols>
  <sheetData>
    <row r="1" ht="21" customHeight="1" spans="1:8" x14ac:dyDescent="0.25">
      <c r="A1" s="1" t="s">
        <v>43</v>
      </c>
      <c r="B1"/>
      <c r="C1"/>
      <c r="D1"/>
      <c r="E1"/>
      <c r="F1"/>
      <c r="G1"/>
      <c r="H1"/>
    </row>
    <row r="2" ht="30" customHeight="1" spans="1:8" x14ac:dyDescent="0.25">
      <c r="A2" s="11" t="s">
        <v>44</v>
      </c>
      <c r="B2"/>
      <c r="C2"/>
      <c r="D2"/>
      <c r="E2"/>
      <c r="F2"/>
      <c r="G2"/>
      <c r="H2"/>
    </row>
    <row r="3" ht="40" customHeight="1" spans="1:8" x14ac:dyDescent="0.25">
      <c r="A3" s="7" t="s">
        <v>45</v>
      </c>
      <c r="B3" s="7" t="s">
        <v>46</v>
      </c>
      <c r="C3" s="7" t="s">
        <v>47</v>
      </c>
      <c r="D3" s="7" t="s">
        <v>48</v>
      </c>
      <c r="E3" s="7" t="s">
        <v>49</v>
      </c>
      <c r="F3" s="7" t="s">
        <v>50</v>
      </c>
      <c r="G3" s="7" t="s">
        <v>51</v>
      </c>
      <c r="H3" s="7" t="s">
        <v>52</v>
      </c>
    </row>
    <row r="4" ht="100" customHeight="1" spans="1:8" x14ac:dyDescent="0.25">
      <c r="A4" s="8" t="s">
        <v>53</v>
      </c>
      <c r="B4" s="8" t="s">
        <v>54</v>
      </c>
      <c r="C4" s="8" t="s">
        <v>38</v>
      </c>
      <c r="D4" s="8" t="s">
        <v>55</v>
      </c>
      <c r="E4" s="8" t="s">
        <v>56</v>
      </c>
      <c r="F4" s="8" t="s">
        <v>57</v>
      </c>
      <c r="G4" s="8" t="s">
        <v>58</v>
      </c>
      <c r="H4" s="8" t="s">
        <v>59</v>
      </c>
    </row>
    <row r="5" ht="100" customHeight="1" spans="1:8" x14ac:dyDescent="0.25">
      <c r="A5" s="8" t="s">
        <v>60</v>
      </c>
      <c r="B5" s="8" t="s">
        <v>54</v>
      </c>
      <c r="C5" s="8" t="s">
        <v>40</v>
      </c>
      <c r="D5" s="8" t="s">
        <v>61</v>
      </c>
      <c r="E5" s="8" t="s">
        <v>62</v>
      </c>
      <c r="F5" s="8" t="s">
        <v>63</v>
      </c>
      <c r="G5" s="8" t="s">
        <v>64</v>
      </c>
      <c r="H5" s="8" t="s">
        <v>65</v>
      </c>
    </row>
    <row r="6" ht="100" customHeight="1" spans="1:8" x14ac:dyDescent="0.25">
      <c r="A6" s="8" t="s">
        <v>66</v>
      </c>
      <c r="B6" s="8" t="s">
        <v>67</v>
      </c>
      <c r="C6" s="8" t="s">
        <v>42</v>
      </c>
      <c r="D6" s="8" t="s">
        <v>68</v>
      </c>
      <c r="E6" s="8" t="s">
        <v>69</v>
      </c>
      <c r="F6" s="8" t="s">
        <v>70</v>
      </c>
      <c r="G6" s="8" t="s">
        <v>71</v>
      </c>
      <c r="H6" s="8" t="s">
        <v>72</v>
      </c>
    </row>
    <row r="7" ht="80" customHeight="1" spans="1:8" x14ac:dyDescent="0.25">
      <c r="A7" s="8" t="s">
        <v>73</v>
      </c>
      <c r="B7" s="8" t="s">
        <v>54</v>
      </c>
      <c r="C7" s="8" t="s">
        <v>41</v>
      </c>
      <c r="D7" s="8" t="s">
        <v>74</v>
      </c>
      <c r="E7" s="8" t="s">
        <v>75</v>
      </c>
      <c r="F7" s="8" t="s">
        <v>76</v>
      </c>
      <c r="G7" s="8" t="s">
        <v>77</v>
      </c>
      <c r="H7" s="8" t="s">
        <v>78</v>
      </c>
    </row>
    <row r="8" ht="80" customHeight="1" spans="1:8" x14ac:dyDescent="0.25">
      <c r="A8" s="8" t="s">
        <v>79</v>
      </c>
      <c r="B8" s="8" t="s">
        <v>80</v>
      </c>
      <c r="C8" s="8" t="s">
        <v>41</v>
      </c>
      <c r="D8" s="8" t="s">
        <v>81</v>
      </c>
      <c r="E8" s="8" t="s">
        <v>82</v>
      </c>
      <c r="F8" s="8" t="s">
        <v>83</v>
      </c>
      <c r="G8" s="8" t="s">
        <v>84</v>
      </c>
      <c r="H8" s="8" t="s">
        <v>85</v>
      </c>
    </row>
    <row r="9" ht="80" customHeight="1" spans="1:8" x14ac:dyDescent="0.25">
      <c r="A9" s="8" t="s">
        <v>86</v>
      </c>
      <c r="B9" s="8" t="s">
        <v>80</v>
      </c>
      <c r="C9" s="8" t="s">
        <v>38</v>
      </c>
      <c r="D9" s="8" t="s">
        <v>87</v>
      </c>
      <c r="E9" s="8" t="s">
        <v>88</v>
      </c>
      <c r="F9" s="8" t="s">
        <v>89</v>
      </c>
      <c r="G9" s="8" t="s">
        <v>90</v>
      </c>
      <c r="H9" s="8" t="s">
        <v>91</v>
      </c>
    </row>
    <row r="10" ht="80" customHeight="1" spans="1:8" x14ac:dyDescent="0.25">
      <c r="A10" s="8" t="s">
        <v>92</v>
      </c>
      <c r="B10" s="8" t="s">
        <v>80</v>
      </c>
      <c r="C10" s="8" t="s">
        <v>42</v>
      </c>
      <c r="D10" s="8" t="s">
        <v>93</v>
      </c>
      <c r="E10" s="8" t="s">
        <v>94</v>
      </c>
      <c r="F10" s="8" t="s">
        <v>95</v>
      </c>
      <c r="G10" s="8" t="s">
        <v>96</v>
      </c>
      <c r="H10" s="8" t="s">
        <v>97</v>
      </c>
    </row>
    <row r="11" ht="80" customHeight="1" spans="1:8" x14ac:dyDescent="0.25">
      <c r="A11" s="8" t="s">
        <v>98</v>
      </c>
      <c r="B11" s="8" t="s">
        <v>54</v>
      </c>
      <c r="C11" s="8" t="s">
        <v>40</v>
      </c>
      <c r="D11" s="8" t="s">
        <v>99</v>
      </c>
      <c r="E11" s="8" t="s">
        <v>100</v>
      </c>
      <c r="F11" s="8" t="s">
        <v>101</v>
      </c>
      <c r="G11" s="8" t="s">
        <v>102</v>
      </c>
      <c r="H11" s="8" t="s">
        <v>103</v>
      </c>
    </row>
    <row r="12" ht="80" customHeight="1" spans="1:8" x14ac:dyDescent="0.25">
      <c r="A12" s="8"/>
      <c r="B12" s="8"/>
      <c r="C12" s="8"/>
      <c r="D12" s="8"/>
      <c r="E12" s="8"/>
      <c r="F12" s="8"/>
      <c r="G12" s="8"/>
      <c r="H12" s="8"/>
    </row>
    <row r="13" ht="80" customHeight="1" spans="1:8" x14ac:dyDescent="0.25">
      <c r="A13" s="8"/>
      <c r="B13" s="8"/>
      <c r="C13" s="8"/>
      <c r="D13" s="8"/>
      <c r="E13" s="8"/>
      <c r="F13" s="8"/>
      <c r="G13" s="8"/>
      <c r="H13" s="8"/>
    </row>
    <row r="14" ht="80" customHeight="1" spans="1:8" x14ac:dyDescent="0.25">
      <c r="A14" s="8"/>
      <c r="B14" s="8"/>
      <c r="C14" s="8"/>
      <c r="D14" s="8"/>
      <c r="E14" s="8"/>
      <c r="F14" s="8"/>
      <c r="G14" s="8"/>
      <c r="H14" s="8"/>
    </row>
    <row r="15" ht="80" customHeight="1" spans="1:8" x14ac:dyDescent="0.25">
      <c r="A15" s="8"/>
      <c r="B15" s="8"/>
      <c r="C15" s="8"/>
      <c r="D15" s="8"/>
      <c r="E15" s="8"/>
      <c r="F15" s="8"/>
      <c r="G15" s="8"/>
      <c r="H15" s="8"/>
    </row>
    <row r="16" ht="80" customHeight="1" spans="1:8" x14ac:dyDescent="0.25">
      <c r="A16" s="8"/>
      <c r="B16" s="8"/>
      <c r="C16" s="8"/>
      <c r="D16" s="8"/>
      <c r="E16" s="8"/>
      <c r="F16" s="8"/>
      <c r="G16" s="8"/>
      <c r="H16" s="8"/>
    </row>
    <row r="17" ht="80" customHeight="1" spans="1:8" x14ac:dyDescent="0.25">
      <c r="A17" s="8"/>
      <c r="B17" s="8"/>
      <c r="C17" s="8"/>
      <c r="D17" s="8"/>
      <c r="E17" s="8"/>
      <c r="F17" s="8"/>
      <c r="G17" s="8"/>
      <c r="H17" s="8"/>
    </row>
    <row r="18" ht="80" customHeight="1" spans="1:8" x14ac:dyDescent="0.25">
      <c r="A18" s="8"/>
      <c r="B18" s="8"/>
      <c r="C18" s="8"/>
      <c r="D18" s="8"/>
      <c r="E18" s="8"/>
      <c r="F18" s="8"/>
      <c r="G18" s="8"/>
      <c r="H18" s="8"/>
    </row>
    <row r="19" ht="80" customHeight="1" spans="1:8" x14ac:dyDescent="0.25">
      <c r="A19" s="8"/>
      <c r="B19" s="8"/>
      <c r="C19" s="8"/>
      <c r="D19" s="8"/>
      <c r="E19" s="8"/>
      <c r="F19" s="8"/>
      <c r="G19" s="8"/>
      <c r="H19" s="8"/>
    </row>
    <row r="20" ht="80" customHeight="1" spans="1:8" x14ac:dyDescent="0.25">
      <c r="A20" s="8"/>
      <c r="B20" s="8"/>
      <c r="C20" s="8"/>
      <c r="D20" s="8"/>
      <c r="E20" s="8"/>
      <c r="F20" s="8"/>
      <c r="G20" s="8"/>
      <c r="H20" s="8"/>
    </row>
    <row r="21" ht="80" customHeight="1" spans="1:8" x14ac:dyDescent="0.25">
      <c r="A21" s="8"/>
      <c r="B21" s="8"/>
      <c r="C21" s="8"/>
      <c r="D21" s="8"/>
      <c r="E21" s="8"/>
      <c r="F21" s="8"/>
      <c r="G21" s="8"/>
      <c r="H21" s="8"/>
    </row>
    <row r="22" ht="80" customHeight="1" spans="1:8" x14ac:dyDescent="0.25">
      <c r="A22" s="8"/>
      <c r="B22" s="8"/>
      <c r="C22" s="8"/>
      <c r="D22" s="8"/>
      <c r="E22" s="8"/>
      <c r="F22" s="8"/>
      <c r="G22" s="8"/>
      <c r="H22" s="8"/>
    </row>
    <row r="23" ht="80" customHeight="1" spans="1:8" x14ac:dyDescent="0.25">
      <c r="A23" s="8"/>
      <c r="B23" s="8"/>
      <c r="C23" s="8"/>
      <c r="D23" s="8"/>
      <c r="E23" s="8"/>
      <c r="F23" s="8"/>
      <c r="G23" s="8"/>
      <c r="H23" s="8"/>
    </row>
    <row r="24" ht="80" customHeight="1" spans="1:8" x14ac:dyDescent="0.25">
      <c r="A24" s="8"/>
      <c r="B24" s="8"/>
      <c r="C24" s="8"/>
      <c r="D24" s="8"/>
      <c r="E24" s="8"/>
      <c r="F24" s="8"/>
      <c r="G24" s="8"/>
      <c r="H24" s="8"/>
    </row>
    <row r="25" ht="80" customHeight="1" spans="1:8" x14ac:dyDescent="0.25">
      <c r="A25" s="8"/>
      <c r="B25" s="8"/>
      <c r="C25" s="8"/>
      <c r="D25" s="8"/>
      <c r="E25" s="8"/>
      <c r="F25" s="8"/>
      <c r="G25" s="8"/>
      <c r="H25" s="8"/>
    </row>
    <row r="26" ht="80" customHeight="1" spans="1:8" x14ac:dyDescent="0.25">
      <c r="A26" s="8"/>
      <c r="B26" s="8"/>
      <c r="C26" s="8"/>
      <c r="D26" s="8"/>
      <c r="E26" s="8"/>
      <c r="F26" s="8"/>
      <c r="G26" s="8"/>
      <c r="H26" s="8"/>
    </row>
    <row r="27" spans="1:8" x14ac:dyDescent="0.25"/>
    <row r="28" spans="1:8" x14ac:dyDescent="0.25"/>
    <row r="29" spans="1:8" x14ac:dyDescent="0.25"/>
    <row r="30" spans="1:8" x14ac:dyDescent="0.25"/>
  </sheetData>
  <mergeCells count="2">
    <mergeCell ref="A1:H1"/>
    <mergeCell ref="A2:H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workbookViewId="0" zoomScale="100" zoomScaleNormal="100">
      <selection activeCell="F4" sqref="F4"/>
    </sheetView>
  </sheetViews>
  <sheetFormatPr defaultRowHeight="14.4" outlineLevelRow="0" outlineLevelCol="5" x14ac:dyDescent="0" defaultColWidth="9" customHeight="1"/>
  <cols>
    <col min="1" max="1" width="12" customWidth="1"/>
    <col min="2" max="2" width="22" customWidth="1"/>
    <col min="3" max="6" width="30" customWidth="1"/>
  </cols>
  <sheetData>
    <row r="1" ht="21" customHeight="1" spans="1:6" x14ac:dyDescent="0.25">
      <c r="A1" s="12" t="s">
        <v>104</v>
      </c>
      <c r="B1"/>
      <c r="C1"/>
      <c r="D1"/>
      <c r="E1"/>
      <c r="F1"/>
    </row>
    <row r="2" spans="1:6" x14ac:dyDescent="0.25">
      <c r="A2" s="13" t="s">
        <v>105</v>
      </c>
      <c r="B2"/>
      <c r="C2"/>
      <c r="D2"/>
      <c r="E2"/>
      <c r="F2"/>
    </row>
    <row r="3" ht="40" customHeight="1" spans="1:6" x14ac:dyDescent="0.25">
      <c r="A3" s="7" t="s">
        <v>106</v>
      </c>
      <c r="B3" s="7" t="s">
        <v>107</v>
      </c>
      <c r="C3" s="7" t="s">
        <v>108</v>
      </c>
      <c r="D3" s="7" t="s">
        <v>109</v>
      </c>
      <c r="E3" s="7" t="s">
        <v>110</v>
      </c>
      <c r="F3" s="7" t="s">
        <v>111</v>
      </c>
    </row>
    <row r="4" ht="60" customHeight="1" spans="1:6" x14ac:dyDescent="0.25">
      <c r="A4" s="8" t="s">
        <v>79</v>
      </c>
      <c r="B4" s="8" t="s">
        <v>112</v>
      </c>
      <c r="C4" s="8" t="s">
        <v>113</v>
      </c>
      <c r="D4" s="8" t="s">
        <v>114</v>
      </c>
      <c r="E4" s="8" t="s">
        <v>115</v>
      </c>
      <c r="F4" s="8" t="s">
        <v>116</v>
      </c>
    </row>
    <row r="5" spans="1:6" x14ac:dyDescent="0.25">
      <c r="A5" s="8" t="s">
        <v>86</v>
      </c>
      <c r="B5" s="8" t="s">
        <v>117</v>
      </c>
      <c r="C5" s="8" t="s">
        <v>118</v>
      </c>
      <c r="D5" s="8" t="s">
        <v>119</v>
      </c>
      <c r="E5" s="8" t="s">
        <v>120</v>
      </c>
      <c r="F5" s="8" t="s">
        <v>121</v>
      </c>
    </row>
    <row r="6" ht="60" customHeight="1" spans="1:6" x14ac:dyDescent="0.25">
      <c r="A6" s="8" t="s">
        <v>92</v>
      </c>
      <c r="B6" s="8" t="s">
        <v>112</v>
      </c>
      <c r="C6" s="8" t="s">
        <v>122</v>
      </c>
      <c r="D6" s="8" t="s">
        <v>123</v>
      </c>
      <c r="E6" s="8" t="s">
        <v>124</v>
      </c>
      <c r="F6" s="8" t="s">
        <v>125</v>
      </c>
    </row>
    <row r="7" ht="60" customHeight="1" spans="1:6" x14ac:dyDescent="0.25">
      <c r="A7" s="8" t="s">
        <v>126</v>
      </c>
      <c r="B7" s="8"/>
      <c r="C7" s="8"/>
      <c r="D7" s="8"/>
      <c r="E7" s="8"/>
      <c r="F7" s="8"/>
    </row>
    <row r="8" ht="60" customHeight="1" spans="1:6" x14ac:dyDescent="0.25">
      <c r="A8" s="8"/>
      <c r="B8" s="8"/>
      <c r="C8" s="8"/>
      <c r="D8" s="8"/>
      <c r="E8" s="8"/>
      <c r="F8" s="8"/>
    </row>
    <row r="9" ht="60" customHeight="1" spans="1:6" x14ac:dyDescent="0.25">
      <c r="A9" s="8"/>
      <c r="B9" s="8"/>
      <c r="C9" s="8"/>
      <c r="D9" s="8"/>
      <c r="E9" s="8"/>
      <c r="F9" s="8"/>
    </row>
    <row r="10" ht="60" customHeight="1" spans="1:6" x14ac:dyDescent="0.25">
      <c r="A10" s="8"/>
      <c r="B10" s="8"/>
      <c r="C10" s="8"/>
      <c r="D10" s="8"/>
      <c r="E10" s="8"/>
      <c r="F10" s="8"/>
    </row>
    <row r="11" ht="60" customHeight="1" spans="1:6" x14ac:dyDescent="0.25">
      <c r="A11" s="8"/>
      <c r="B11" s="8"/>
      <c r="C11" s="8"/>
      <c r="D11" s="8"/>
      <c r="E11" s="8"/>
      <c r="F11" s="8"/>
    </row>
    <row r="12" ht="60" customHeight="1" spans="1:6" x14ac:dyDescent="0.25">
      <c r="A12" s="8"/>
      <c r="B12" s="8"/>
      <c r="C12" s="8"/>
      <c r="D12" s="8"/>
      <c r="E12" s="8"/>
      <c r="F12" s="8"/>
    </row>
    <row r="13" ht="60" customHeight="1" spans="1:6" x14ac:dyDescent="0.25">
      <c r="A13" s="8"/>
      <c r="B13" s="8"/>
      <c r="C13" s="8"/>
      <c r="D13" s="8"/>
      <c r="E13" s="8"/>
      <c r="F13" s="8"/>
    </row>
    <row r="14" ht="60" customHeight="1" spans="1:6" x14ac:dyDescent="0.25">
      <c r="A14" s="8"/>
      <c r="B14" s="8"/>
      <c r="C14" s="8"/>
      <c r="D14" s="8"/>
      <c r="E14" s="8"/>
      <c r="F14" s="8"/>
    </row>
    <row r="15" ht="60" customHeight="1" spans="1:6" x14ac:dyDescent="0.25">
      <c r="A15" s="8"/>
      <c r="B15" s="8"/>
      <c r="C15" s="8"/>
      <c r="D15" s="8"/>
      <c r="E15" s="8"/>
      <c r="F15" s="8"/>
    </row>
    <row r="16" ht="60" customHeight="1" spans="1:6" x14ac:dyDescent="0.25">
      <c r="A16" s="8"/>
      <c r="B16" s="8"/>
      <c r="C16" s="8"/>
      <c r="D16" s="8"/>
      <c r="E16" s="8"/>
      <c r="F16" s="8"/>
    </row>
    <row r="17" ht="60" customHeight="1" spans="1:6" x14ac:dyDescent="0.25">
      <c r="A17" s="8"/>
      <c r="B17" s="8"/>
      <c r="C17" s="8"/>
      <c r="D17" s="8"/>
      <c r="E17" s="8"/>
      <c r="F17" s="8"/>
    </row>
    <row r="18" ht="60" customHeight="1" spans="1:6" x14ac:dyDescent="0.25">
      <c r="A18" s="8"/>
      <c r="B18" s="8"/>
      <c r="C18" s="8"/>
      <c r="D18" s="8"/>
      <c r="E18" s="8"/>
      <c r="F18" s="8"/>
    </row>
    <row r="19" ht="60" customHeight="1" spans="1:6" x14ac:dyDescent="0.25">
      <c r="A19" s="8"/>
      <c r="B19" s="8"/>
      <c r="C19" s="8"/>
      <c r="D19" s="8"/>
      <c r="E19" s="8"/>
      <c r="F19" s="8"/>
    </row>
    <row r="20" ht="60" customHeight="1" spans="1:6" x14ac:dyDescent="0.25">
      <c r="A20" s="8"/>
      <c r="B20" s="8"/>
      <c r="C20" s="8"/>
      <c r="D20" s="8"/>
      <c r="E20" s="8"/>
      <c r="F20" s="8"/>
    </row>
    <row r="21" ht="60" customHeight="1" spans="1:6" x14ac:dyDescent="0.25">
      <c r="A21" s="8"/>
      <c r="B21" s="8"/>
      <c r="C21" s="8"/>
      <c r="D21" s="8"/>
      <c r="E21" s="8"/>
      <c r="F21" s="8"/>
    </row>
    <row r="22" ht="60" customHeight="1" spans="1:6" x14ac:dyDescent="0.25">
      <c r="A22" s="8"/>
      <c r="B22" s="8"/>
      <c r="C22" s="8"/>
      <c r="D22" s="8"/>
      <c r="E22" s="8"/>
      <c r="F22" s="8"/>
    </row>
    <row r="23" ht="60" customHeight="1" spans="1:6" x14ac:dyDescent="0.25">
      <c r="A23" s="8"/>
      <c r="B23" s="8"/>
      <c r="C23" s="8"/>
      <c r="D23" s="8"/>
      <c r="E23" s="8"/>
      <c r="F23" s="8"/>
    </row>
    <row r="24" ht="60" customHeight="1" spans="1:6" x14ac:dyDescent="0.25">
      <c r="A24" s="8"/>
      <c r="B24" s="8"/>
      <c r="C24" s="8"/>
      <c r="D24" s="8"/>
      <c r="E24" s="8"/>
      <c r="F24" s="8"/>
    </row>
    <row r="30" ht="18" customHeight="1" spans="1:1" x14ac:dyDescent="0.25">
      <c r="A30" s="2" t="s">
        <v>127</v>
      </c>
    </row>
    <row r="31" spans="1:3" x14ac:dyDescent="0.25">
      <c r="A31" s="14" t="s">
        <v>128</v>
      </c>
      <c r="B31" s="14" t="s">
        <v>129</v>
      </c>
      <c r="C31" s="14" t="s">
        <v>130</v>
      </c>
    </row>
    <row r="32" ht="28.8" customHeight="1" spans="1:3" x14ac:dyDescent="0.25">
      <c r="A32" s="8" t="s">
        <v>112</v>
      </c>
      <c r="B32" s="8" t="s">
        <v>131</v>
      </c>
      <c r="C32" s="8" t="s">
        <v>132</v>
      </c>
    </row>
    <row r="33" ht="28.8" customHeight="1" spans="1:3" x14ac:dyDescent="0.25">
      <c r="A33" s="8" t="s">
        <v>133</v>
      </c>
      <c r="B33" s="8" t="s">
        <v>134</v>
      </c>
      <c r="C33" s="8" t="s">
        <v>135</v>
      </c>
    </row>
    <row r="34" ht="28.8" customHeight="1" spans="1:3" x14ac:dyDescent="0.25">
      <c r="A34" s="8" t="s">
        <v>117</v>
      </c>
      <c r="B34" s="8" t="s">
        <v>136</v>
      </c>
      <c r="C34" s="8" t="s">
        <v>137</v>
      </c>
    </row>
    <row r="35" ht="28.8" customHeight="1" spans="1:3" x14ac:dyDescent="0.25">
      <c r="A35" s="8" t="s">
        <v>138</v>
      </c>
      <c r="B35" s="8" t="s">
        <v>139</v>
      </c>
      <c r="C35" s="8" t="s">
        <v>140</v>
      </c>
    </row>
    <row r="36" ht="43.2" customHeight="1" spans="1:3" x14ac:dyDescent="0.25">
      <c r="A36" s="8" t="s">
        <v>141</v>
      </c>
      <c r="B36" s="8" t="s">
        <v>142</v>
      </c>
      <c r="C36" s="8" t="s">
        <v>143</v>
      </c>
    </row>
  </sheetData>
  <mergeCells count="2">
    <mergeCell ref="A1:F1"/>
    <mergeCell ref="A2:F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5"/>
  <sheetViews>
    <sheetView workbookViewId="0" zoomScale="100" zoomScaleNormal="100">
      <selection activeCell="D18" sqref="D18"/>
    </sheetView>
  </sheetViews>
  <sheetFormatPr defaultRowHeight="14.4" outlineLevelRow="0" outlineLevelCol="3" x14ac:dyDescent="0" defaultColWidth="9" customHeight="1"/>
  <cols>
    <col min="1" max="1" width="8" customWidth="1"/>
    <col min="2" max="2" width="60" customWidth="1"/>
    <col min="3" max="3" width="10" customWidth="1"/>
    <col min="4" max="4" width="30" customWidth="1"/>
  </cols>
  <sheetData>
    <row r="1" ht="21" customHeight="1" spans="1:4" x14ac:dyDescent="0.25">
      <c r="A1" s="1" t="s">
        <v>144</v>
      </c>
      <c r="B1"/>
      <c r="C1"/>
      <c r="D1"/>
    </row>
    <row r="2" spans="1:4" x14ac:dyDescent="0.25">
      <c r="A2" s="15" t="s">
        <v>145</v>
      </c>
      <c r="B2"/>
      <c r="C2"/>
      <c r="D2"/>
    </row>
    <row r="4" ht="18" customHeight="1" spans="1:1" x14ac:dyDescent="0.25">
      <c r="A4" s="2" t="s">
        <v>146</v>
      </c>
    </row>
    <row r="5" spans="1:4" x14ac:dyDescent="0.25">
      <c r="A5" s="7" t="s">
        <v>147</v>
      </c>
      <c r="B5" s="16" t="s">
        <v>148</v>
      </c>
      <c r="C5" s="7" t="s">
        <v>149</v>
      </c>
      <c r="D5" s="16" t="s">
        <v>150</v>
      </c>
    </row>
    <row r="6" spans="1:4" x14ac:dyDescent="0.25">
      <c r="A6" s="17" t="s">
        <v>151</v>
      </c>
      <c r="B6" s="18" t="s">
        <v>152</v>
      </c>
      <c r="C6" s="17" t="s">
        <v>153</v>
      </c>
      <c r="D6" s="18" t="s">
        <v>33</v>
      </c>
    </row>
    <row r="7" spans="1:4" x14ac:dyDescent="0.25">
      <c r="A7" s="17" t="s">
        <v>154</v>
      </c>
      <c r="B7" s="18" t="s">
        <v>155</v>
      </c>
      <c r="C7" s="17" t="s">
        <v>153</v>
      </c>
      <c r="D7" s="18" t="s">
        <v>33</v>
      </c>
    </row>
    <row r="8" spans="1:4" x14ac:dyDescent="0.25">
      <c r="A8" s="17" t="s">
        <v>156</v>
      </c>
      <c r="B8" s="18" t="s">
        <v>157</v>
      </c>
      <c r="C8" s="17" t="s">
        <v>153</v>
      </c>
      <c r="D8" s="18" t="s">
        <v>33</v>
      </c>
    </row>
    <row r="9" spans="1:4" x14ac:dyDescent="0.25">
      <c r="A9" s="17" t="s">
        <v>158</v>
      </c>
      <c r="B9" s="18" t="s">
        <v>159</v>
      </c>
      <c r="C9" s="17" t="s">
        <v>153</v>
      </c>
      <c r="D9" s="18" t="s">
        <v>33</v>
      </c>
    </row>
    <row r="10" spans="1:4" x14ac:dyDescent="0.25">
      <c r="A10" s="17" t="s">
        <v>160</v>
      </c>
      <c r="B10" s="18" t="s">
        <v>161</v>
      </c>
      <c r="C10" s="17" t="s">
        <v>153</v>
      </c>
      <c r="D10" s="18" t="s">
        <v>33</v>
      </c>
    </row>
    <row r="12" ht="18" customHeight="1" spans="1:1" x14ac:dyDescent="0.25">
      <c r="A12" s="2" t="s">
        <v>162</v>
      </c>
    </row>
    <row r="13" spans="1:4" x14ac:dyDescent="0.25">
      <c r="A13" s="7" t="s">
        <v>147</v>
      </c>
      <c r="B13" s="16" t="s">
        <v>148</v>
      </c>
      <c r="C13" s="7" t="s">
        <v>149</v>
      </c>
      <c r="D13" s="16" t="s">
        <v>163</v>
      </c>
    </row>
    <row r="14" spans="1:4" x14ac:dyDescent="0.25">
      <c r="A14" s="17" t="s">
        <v>151</v>
      </c>
      <c r="B14" s="18" t="s">
        <v>164</v>
      </c>
      <c r="C14" s="17" t="s">
        <v>153</v>
      </c>
      <c r="D14" s="18" t="s">
        <v>165</v>
      </c>
    </row>
    <row r="15" spans="1:4" x14ac:dyDescent="0.25">
      <c r="A15" s="17" t="s">
        <v>154</v>
      </c>
      <c r="B15" s="18" t="s">
        <v>166</v>
      </c>
      <c r="C15" s="17" t="s">
        <v>153</v>
      </c>
      <c r="D15" s="18" t="s">
        <v>167</v>
      </c>
    </row>
    <row r="16" spans="1:4" x14ac:dyDescent="0.25">
      <c r="A16" s="17" t="s">
        <v>156</v>
      </c>
      <c r="B16" s="18" t="s">
        <v>168</v>
      </c>
      <c r="C16" s="17" t="s">
        <v>153</v>
      </c>
      <c r="D16" s="18" t="s">
        <v>169</v>
      </c>
    </row>
    <row r="17" spans="1:4" x14ac:dyDescent="0.25">
      <c r="A17" s="17" t="s">
        <v>158</v>
      </c>
      <c r="B17" s="18" t="s">
        <v>170</v>
      </c>
      <c r="C17" s="17" t="s">
        <v>153</v>
      </c>
      <c r="D17" s="18" t="s">
        <v>171</v>
      </c>
    </row>
    <row r="18" spans="1:4" x14ac:dyDescent="0.25">
      <c r="A18" s="17" t="s">
        <v>160</v>
      </c>
      <c r="B18" s="18" t="s">
        <v>172</v>
      </c>
      <c r="C18" s="17" t="s">
        <v>153</v>
      </c>
      <c r="D18" s="18" t="s">
        <v>173</v>
      </c>
    </row>
    <row r="20" ht="15.6" customHeight="1" spans="1:1" x14ac:dyDescent="0.25">
      <c r="A20" s="19" t="s">
        <v>174</v>
      </c>
    </row>
    <row r="21" spans="1:1" x14ac:dyDescent="0.25">
      <c r="A21" s="20" t="s">
        <v>175</v>
      </c>
    </row>
    <row r="22" spans="1:1" x14ac:dyDescent="0.25">
      <c r="A22" s="20" t="s">
        <v>176</v>
      </c>
    </row>
    <row r="25" ht="18" customHeight="1" spans="1:1" x14ac:dyDescent="0.25">
      <c r="A25" s="2" t="s">
        <v>177</v>
      </c>
    </row>
    <row r="26" spans="1:1" x14ac:dyDescent="0.25">
      <c r="A26" s="21" t="s">
        <v>178</v>
      </c>
    </row>
    <row r="27" ht="43.2" customHeight="1" spans="1:4" x14ac:dyDescent="0.25">
      <c r="A27" s="22" t="s">
        <v>45</v>
      </c>
      <c r="B27" s="14" t="s">
        <v>179</v>
      </c>
      <c r="C27" s="14" t="s">
        <v>180</v>
      </c>
      <c r="D27" s="14" t="s">
        <v>181</v>
      </c>
    </row>
    <row r="28" spans="1:4" x14ac:dyDescent="0.25">
      <c r="A28" s="10" t="s">
        <v>53</v>
      </c>
      <c r="B28" s="8" t="s">
        <v>182</v>
      </c>
      <c r="C28" s="8" t="s">
        <v>183</v>
      </c>
      <c r="D28" s="8" t="s">
        <v>184</v>
      </c>
    </row>
    <row r="29" spans="1:4" x14ac:dyDescent="0.25">
      <c r="A29" s="10" t="s">
        <v>60</v>
      </c>
      <c r="B29" s="8" t="s">
        <v>185</v>
      </c>
      <c r="C29" s="8" t="s">
        <v>186</v>
      </c>
      <c r="D29" s="8" t="s">
        <v>187</v>
      </c>
    </row>
    <row r="30" spans="1:4" x14ac:dyDescent="0.25">
      <c r="A30" s="10" t="s">
        <v>66</v>
      </c>
      <c r="B30" s="8" t="s">
        <v>188</v>
      </c>
      <c r="C30" s="8" t="s">
        <v>189</v>
      </c>
      <c r="D30" s="8" t="s">
        <v>190</v>
      </c>
    </row>
    <row r="31" spans="1:4" x14ac:dyDescent="0.25">
      <c r="A31" t="s">
        <v>73</v>
      </c>
      <c r="B31" t="s">
        <v>191</v>
      </c>
      <c r="C31" t="s">
        <v>192</v>
      </c>
      <c r="D31" t="s">
        <v>193</v>
      </c>
    </row>
    <row r="32" spans="1:4" x14ac:dyDescent="0.25">
      <c r="A32" t="s">
        <v>79</v>
      </c>
      <c r="B32" t="s">
        <v>194</v>
      </c>
      <c r="C32" t="s">
        <v>195</v>
      </c>
      <c r="D32" t="s">
        <v>196</v>
      </c>
    </row>
    <row r="33" spans="1:4" x14ac:dyDescent="0.25">
      <c r="A33" t="s">
        <v>86</v>
      </c>
      <c r="B33" t="s">
        <v>197</v>
      </c>
      <c r="C33" t="s">
        <v>198</v>
      </c>
      <c r="D33" t="s">
        <v>199</v>
      </c>
    </row>
    <row r="34" spans="1:4" x14ac:dyDescent="0.25">
      <c r="A34" t="s">
        <v>92</v>
      </c>
      <c r="B34" t="s">
        <v>200</v>
      </c>
      <c r="C34" t="s">
        <v>201</v>
      </c>
      <c r="D34" t="s">
        <v>202</v>
      </c>
    </row>
    <row r="35" spans="1:4" x14ac:dyDescent="0.25">
      <c r="A35" t="s">
        <v>98</v>
      </c>
      <c r="B35" t="s">
        <v>203</v>
      </c>
      <c r="C35" t="s">
        <v>204</v>
      </c>
      <c r="D35" t="s">
        <v>205</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Giang Nguyễn</cp:lastModifiedBy>
  <dcterms:created xsi:type="dcterms:W3CDTF">2026-05-07T22:28:00Z</dcterms:created>
  <dcterms:modified xsi:type="dcterms:W3CDTF">2026-05-15T09:08:19Z</dcterms:modified>
</cp:coreProperties>
</file>