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8"/>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<sst xmlns="http://schemas.openxmlformats.org/spreadsheetml/2006/main" count="225" uniqueCount="172">
  <si>
    <t>AI AUDIT LOG - METADATA &amp; SUMMARY</t>
  </si>
  <si>
    <t>STUDENT INFORMATION</t>
  </si>
  <si>
    <t>Student Name:</t>
  </si>
  <si>
    <t>Nguyễn Văn Dạng</t>
  </si>
  <si>
    <t>Student ID:</t>
  </si>
  <si>
    <t>DE190324</t>
  </si>
  <si>
    <t>Course:</t>
  </si>
  <si>
    <t>SWR302(Cô Tâm có tâm và có tầm)</t>
  </si>
  <si>
    <t>Assignment:</t>
  </si>
  <si>
    <t>Bài Tập Cá Nhân - SWR302: MoSCoW &amp; Acceptance Criteria</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</si>
  <si>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</si>
  <si>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</si>
  <si>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</si>
  <si>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</si>
  <si>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</si>
  <si>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</si>
  <si>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</si>
  <si>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</si>
  <si>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</si>
  <si>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</si>
  <si>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</si>
  <si>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</si>
  <si>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</si>
  <si>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</si>
  <si>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</si>
  <si>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</si>
  <si>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</si>
  <si>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</si>
  <si>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</si>
  <si>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</si>
  <si>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</si>
  <si>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</si>
  <si>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</si>
  <si>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</si>
  <si>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</si>
  <si>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</si>
  <si>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</si>
  <si>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</si>
  <si>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</si>
  <si>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</si>
  <si>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</si>
  <si>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</si>
  <si>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</si>
  <si>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</si>
  <si>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</si>
  <si>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</si>
  <si>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</si>
  <si>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</si>
  <si>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</si>
  <si>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</si>
  <si>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</si>
  <si>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</si>
  <si>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</si>
  <si>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</si>
  <si>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Cần phân chia các module chức năng cho dự án Coworking Space Booking System (CSBS) ở bài lab.</t>
  </si>
  <si>
    <t>Hãy phân chia các module chức năng của hệ thống đặt phòng làm việc chung (Coworking Space Booking System) cho một đội ngũ gồm 3 developers làm trong 6 tuần.</t>
  </si>
  <si>
    <t>AI gợi ý 9 modules: Quản lý người dùng, Đặt phòng, Quản lý không gian, Thanh toán, Báo cáo thống kê, Đánh giá dịch vụ, Tích hợp SMS, Gửi email thông báo, Cài đặt hệ thống.</t>
  </si>
  <si>
    <t>Critical Thinking: Phân chia 9 modules là quá nhiều cho một dự án lab nhỏ trong 6 tuần với 3 developers. Điều này dẫn đến overhead trong giao tiếp và tích hợp.
Contextualization: Nhóm quyết định chỉ tập trung vào các chức năng cốt lõi.
Creative Synthesis: Tôi gộp lại thành 4 modules chính: (1) Quản lý người dùng &amp; phân quyền, (2) Đặt phòng &amp; quản lý không gian, (3) Tích hợp thanh toán &amp; email, (4) Thống kê đơn giản cho Admin.
Decision: Chọn mô hình 4 modules giúp tối ưu hóa nhân lực và hoàn thành đúng tiến độ.</t>
  </si>
  <si>
    <t>Screenshot use case diagram &amp; danh sách module trong tài liệu Lab CSBS</t>
  </si>
  <si>
    <t>Phân loại MoSCoW cho 10 requirements của ứng dụng Đặt lịch khám bệnh trực tuyến ở Bài tập 1.</t>
  </si>
  <si>
    <t>Phân loại MoSCoW cho 10 requirements sau: R01 (đăng ký số điện thoại/OTP), R02 (bác sĩ xem lịch khám), R03 (gửi SMS nhắc lịch), R04 (lịch sử khám), R05 (báo cáo doanh thu), R06 (đặt lịch tại 3 cơ sở), R07 (online payment), R08 (ghi chú điện tử), R09 (đánh giá 1-5 sao), R10 (thời gian chờ real-time). Bối cảnh: 3 dev, 8 tuần.</t>
  </si>
  <si>
    <t>AI gợi ý 6 Must Have: R01, R02, R04, R06, R07, R08. 2 Should Have: R03, R09. 2 Could Have/Won't Have: R05, R10.</t>
  </si>
  <si>
    <t>Critical Thinking: AI xếp R07 (Thanh toán trực tuyến) và R08 (Ghi chú điện tử) làm Must Have là phi thực tế đối với một dự án 8 tuần của 3 developers. Tích hợp thanh toán và số hóa bệnh án rất tốn thời gian.
Contextualization: Phòng khám hiện tại có thể thu tiền mặt tại quầy và bác sĩ dùng giấy tờ thông thường.
Creative Synthesis: Tôi hạ cấp R07 và R08 xuống Should Have; giữ R01, R02, R06 làm Must Have vì nếu không chọn chi nhánh và không xác thực bằng OTP thì không thể vận hành đặt lịch được.
Decision: Đưa ra bảng xếp hạng cuối cùng: Must Have (R01, R02, R06), Should Have (R04, R07, R08), Could Have (R03, R09), Won't Have (R05, R10).</t>
  </si>
  <si>
    <t>Bảng phân loại MoSCoW trong file bài tập cá nhân</t>
  </si>
  <si>
    <t>PROBLEM-SOLVING</t>
  </si>
  <si>
    <t>Cần khái quát hóa các quy tắc ràng buộc đặt lịch hẹn tại phòng khám để đưa vào thuật toán khóa slot khám (slot locking).</t>
  </si>
  <si>
    <t>Làm thế nào để trừu tượng hóa các quy định nghiệp vụ về đặt lịch khám thành các điều kiện biên và logic điều khiển trong hệ thống?</t>
  </si>
  <si>
    <t>AI gợi ý các thực thể: Bệnh nhân, Bác sĩ, Khung giờ (Slot). Ràng buộc: Một bác sĩ không thể khám 2 bệnh nhân cùng một slot. Một bệnh nhân không thể đặt 2 lịch hẹn trùng giờ.</t>
  </si>
  <si>
    <t>Critical Thinking: Thiết kế của AI còn thiếu trường hợp thay đổi cơ sở khám bệnh (3 cơ sở khác nhau). Bác sĩ có thể di chuyển giữa các cơ sở.
Contextualization: Dự án có 3 cơ sở tại Đà Nẵng, bác sĩ có lịch làm việc cố định tại mỗi cơ sở theo ngày.
Creative Synthesis: Tôi bổ sung thực thể Cơ sở (Location) và bảng phân công bác sĩ (Doctor_Schedule) làm điều kiện ràng buộc bổ sung. Khi đặt lịch, hệ thống phải check đồng thời: Doctor ID, Location, Date, TimeSlot.
Decision: Thiết kế database và logic API đặt lịch dựa trên 4 khóa này.</t>
  </si>
  <si>
    <t>Diagram cơ sở dữ liệu thực thể hoặc đoạn mã check slot</t>
  </si>
  <si>
    <t>Xác định các quy tắc nghiệp vụ khi deadline của dự án Đặt lịch khám bệnh bị rút ngắn từ 8 tuần xuống 5 tuần.</t>
  </si>
  <si>
    <t>Khi deadline giảm từ 8 tuần xuống 5 tuần cho dự án Clinic Booking, tôi nên rút gọn những tính năng nào để đảm bảo dự án golive thành công mà không làm hỏng trải nghiệm cốt lõi?</t>
  </si>
  <si>
    <t>AI đề xuất bỏ R02 (Doctor view schedule on mobile) và thay bằng gửi Email cho bác sĩ hàng ngày để tiết kiệm thời gian dev.</t>
  </si>
  <si>
    <t>Critical Thinking: Đề xuất của AI là không phù hợp vì bác sĩ cần cập nhật lịch theo thời gian thực (real-time) để nhận bệnh nhân. Bỏ R02 sẽ làm hỏng cốt lõi hệ thống.
Contextualization: Nhóm quyết định giữ R02 và R06. Rút gọn bằng cách hạ cấp R07 (thanh toán online) và R08 (ghi chú điện tử) xuống Won't Have vì 2 tính năng này tốn nhiều tài nguyên dev nhất nhưng có thể thay thế bằng quy trình thủ công tại quầy.
Creative Synthesis: Thực hiện tái cấu trúc kế hoạch phát hành, tập trung toàn bộ nguồn lực kiểm thử cho luồng đăng ký lịch (R01).
Decision: Thay đổi phân loại MoSCoW: R07 và R08 chuyển sang Won't Have.</t>
  </si>
  <si>
    <t>Biên bản họp nhóm hoặc kế hoạch điều chỉnh Sprint trong Jira</t>
  </si>
  <si>
    <t>Phân biệt các tình huống thực tế thuộc Verification hay Validation ở Bài tập 2.</t>
  </si>
  <si>
    <t>Giúp tôi phân loại 5 tình huống sau đây vào nhóm Verification hay Validation và giải thích lý do: (1) Tester test login theo SRS, (2) BA khảo sát ý kiến bác sĩ trên prototype, (3) Review SRS kiểm tra acceptance test, (4) PM so sánh Business và Software requirements, (5) QA test PASS nhưng khách hàng từ chối nhận vì nghiệp vụ CMND/BHYT.</t>
  </si>
  <si>
    <t>AI gợi ý: Tình huống 1, 3, 4 là Verification. Tình huống 2 là Validation. Tình huống 5 chỉ là lỗi UI và là Validation.</t>
  </si>
  <si>
    <t>Critical Thinking: AI nhận định Tình huống 5 chỉ là lỗi UI là sai hoàn toàn. Đây là một xung đột sâu sắc giữa Verification (thành công) và Validation (thất bại) do đặc tả sai quy trình nghiệp vụ thực tế.
Contextualization: Lập luận dựa trên sách Software Requirements của Karl Wiegers về mối quan hệ giữa Verification và Validation.
Creative Synthesis: Tôi phân loại Tình huống 5 vào nhóm "Cả hai" và viết phân tích chuyên sâu về sự thiếu sót trong khâu thu thập yêu cầu và kiểm định sớm với người dùng.
Decision: Phân loại Tình huống 5 là "Cả hai" với lập luận chi tiết trong bài làm.</t>
  </si>
  <si>
    <t>Đoạn text phân tích tình huống 5 trong bài nộp</t>
  </si>
  <si>
    <t>Xây dựng 4 kịch bản Acceptance Criteria (Given-When-Then) cho User Story đặt lịch khám trực tuyến ở Bài tập 3.</t>
  </si>
  <si>
    <t>Viết 4 Acceptance Criteria định dạng Given-When-Then cho User Story: "Là bệnh nhân, tôi muốn đặt lịch khám trực tuyến qua điện thoại..."</t>
  </si>
  <si>
    <t>AI viết 4 AC cơ bản: Đặt lịch thành công, Đặt lịch thất bại do thiếu thông tin, Đăng nhập thành công, và Hệ thống load trang đặt lịch nhanh.</t>
  </si>
  <si>
    <t>Critical Thinking: Các AC của AI viết quá chung chung và không testable (ví dụ "hệ thống load nhanh" không định lượng được, "đăng nhập" thuộc user story khác). AI thiếu hoàn toàn trường hợp tranh chấp slot (concurrency) và xử lý dữ liệu đầu vào không hợp lệ cụ thể của clinic.
Contextualization: Cần các AC cụ thể, có thể kiểm thử bằng dữ liệu thực tế tại phòng khám.
Creative Synthesis: Tôi tự thiết kế lại 4 AC: AC 1 (Đặt lịch thành công kèm gửi SMS), AC 2 (Trùng lịch/slot đầy và gợi ý slot mới), AC 3 (Validation số điện thoại), AC 4 (Quy trình hủy lịch trước 12 tiếng).
Decision: Đưa 4 AC tự viết này vào tài liệu đặc tả và thiết kế kịch bản test.</t>
  </si>
  <si>
    <t>Nội dung phần 3a Acceptance Criteria trong bài làm</t>
  </si>
  <si>
    <t>VERIFICATION</t>
  </si>
  <si>
    <t>HALLUCINATION DETECTED! Cần viết thuật toán khóa slot khám đồng thời (Pessimistic Locking) trong Java Spring Boot cho backend của dự án.</t>
  </si>
  <si>
    <t>Viết đoạn code Java Spring Boot sử dụng JPA LockModeType để khóa bản ghi Slot khi có hai request đặt lịch cùng lúc.</t>
  </si>
  <si>
    <t>AI cung cấp code sử dụng LockModeType.OPTIMISTIC và một class không tồn tại trong Spring Data JPA là 'org.springframework.data.jpa.repository.LockingHelper' để tự động giải phóng lock sau 5 phút.</t>
  </si>
  <si>
    <t>Critical Thinking: LỖI GIẢ TẠO (FABRICATION)! Thư viện 'LockingHelper' không hề tồn tại trong Spring Data JPA. AI đã tự chế ra class này để giải quyết vấn đề tự động release lock.
Contextualization: Cần giải pháp thực tế sử dụng cơ chế có sẵn của Database hoặc Redis.
Creative Synthesis: Tôi tra cứu tài liệu chính thức của Spring Boot, sử dụng `@Lock(LockModeType.PESSIMISTIC_WRITE)` và kết hợp với cơ chế Redis Distributed Lock (Redisson) để quản lý lock thời gian thực an toàn.
Decision: Viết lại code backend sử dụng Redisson Client và lưu vết minh chứng lỗi của AI.</t>
  </si>
  <si>
    <t>Screenshot lỗi compile do thiếu class LockingHelper + Code Redisson đã sửa</t>
  </si>
  <si>
    <t>HALLUCINATION DETECTED! Cần tìm một case study thực tế hoặc bài báo khoa học chứng minh thiệt hại của việc không thực hiện Validation sớm trong dự án phần mềm y tế.</t>
  </si>
  <si>
    <t>Hãy trích dẫn một bài báo nghiên cứu (có tác giả, năm, tên bài báo) nói về lỗi Validation yêu cầu phần mềm y tế dẫn đến thất bại của hệ thống quản lý bệnh viện hospital management system.</t>
  </si>
  <si>
    <t>AI trích dẫn bài báo: "Nguyen et al. 2021 - Software Validation Failures in Vietnamese Healthcare Systems, Journal of Medical Systems, Vol 15".</t>
  </si>
  <si>
    <t>Critical Thinking: LỖI GIẢ TẠO (FABRICATION)! Tôi tìm kiếm bài báo này trên Google Scholar, ResearchGate và Scopus nhưng hoàn toàn KHÔNG tìm thấy bất kỳ bài báo nào có tên hoặc tác giả như trên. AI đã tự bịa ra để làm vừa lòng yêu cầu tìm bài báo Việt Nam.
Contextualization: Cần tài liệu chuẩn để đưa vào phần lập luận.
Creative Synthesis: Tôi tự tìm kiếm trên Google Scholar và thay thế bằng bài báo thực tế: "Koppel et al. 2005 - Role of Computerized Physician Order Entry Systems in Facilitating Medication Errors" đăng trên JAMA, chỉ ra các lỗi đặc tả quy trình thực tế (Validation) gây lỗi nghiêm trọng trong bệnh viện.
Decision: Trích dẫn bài báo JAMA và chụp ảnh màn hình tìm kiếm Google Scholar không thấy bài của AI.</t>
  </si>
  <si>
    <t>Link bài báo JAMA thực tế + Screenshot Google Scholar tìm kiếm bài báo giả</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</si>
  <si>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</si>
  <si>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</si>
  <si>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</si>
  <si>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</si>
  <si>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</si>
  <si>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</si>
  <si>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</si>
  <si>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</si>
  <si>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</si>
  <si>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Cung cấp class 'org.springframework.data.jpa.repository.LockingHelper' để tự động quản lý lock trong Spring Data JPA.</t>
  </si>
  <si>
    <t>Class này không tồn tại trong Spring Data JPA API.</t>
  </si>
  <si>
    <t>Import vào dự án bị báo lỗi compile 'package does not exist'. Tra cứu Javadoc của Spring Data JPA không có class này.</t>
  </si>
  <si>
    <t>Sử dụng annotation @Lock(LockModeType.PESSIMISTIC_WRITE) có sẵn kết hợp Redis Distributed Lock (Redisson) để xử lý.</t>
  </si>
  <si>
    <t>Bài báo 'Nguyen et al. 2021 - Software Validation Failures in Vietnamese Healthcare Systems' tồn tại trên Journal of Medical Systems.</t>
  </si>
  <si>
    <t>Bài báo này hoàn toàn không tồn tại.</t>
  </si>
  <si>
    <t>Tìm kiếm từ khóa tên bài báo và tác giả trên Google Scholar, ResearchGate và hệ thống thư viện FPT không thấy kết quả.</t>
  </si>
  <si>
    <t>Thay thế bằng bài báo khoa học thực tế của Koppel et al. 2005 đăng trên JAMA về lỗi CPOE.</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</si>
  <si>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</si>
  <si>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</si>
  <si>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</si>
  <si>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</si>
  <si>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</si>
  <si>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</si>
  <si>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</si>
  <si>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</si>
  <si>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</si>
  <si>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</si>
  <si>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</si>
  <si>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</si>
  <si>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</si>
  <si>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</si>
  <si>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</si>
  <si>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</si>
  <si>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</si>
  <si>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</si>
  <si>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</si>
  <si>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</si>
  <si>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</si>
  <si>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</si>
  <si>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</si>
  <si>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</si>
  <si>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</si>
  <si>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</si>
  <si>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</si>
  <si>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</si>
  <si>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</si>
  <si>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</si>
  <si>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</si>
  <si>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</si>
  <si>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</si>
  <si>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</si>
  <si>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</si>
  <si>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</si>
  <si>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</si>
  <si>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</si>
  <si>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</si>
  <si>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8 entries (PASS)</t>
  </si>
  <si>
    <t>Mỗi DTC component có ít nhất 1 core prompt?</t>
  </si>
  <si>
    <t>Yes, 2 each (PASS)</t>
  </si>
  <si>
    <t>Đã phát hiện ≥ số lượng hallucination yêu cầu?</t>
  </si>
  <si>
    <t>2 hallucinations (PASS)</t>
  </si>
  <si>
    <t>Mỗi entry đều có Human Delta đầy đủ (4 câu hỏi)?</t>
  </si>
  <si>
    <t>Yes, 100% (PASS)</t>
  </si>
  <si>
    <t>Có evidence cho ≥70% entries?</t>
  </si>
  <si>
    <t>Yes, 8/8 (100% PASS)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</si>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</sst>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b/>
      <sz val="11"/>
      <color theme="8" tint="-0.25"/>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12" fillId="0" borderId="0" xfId="0" applyFont="1"/>
    <xf numFmtId="0" fontId="0" fillId="4" borderId="0" xfId="0" applyFill="1"/>
    <xf numFmtId="178" fontId="0" fillId="0" borderId="0" xfId="0" applyNumberFormat="1"/>
    <xf numFmtId="0" fontId="13" fillId="0" borderId="0" xfId="0" applyFont="1"/>
    <xf numFmtId="0" fontId="0" fillId="4" borderId="1" xfId="0"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F6" sqref="F6"/>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spans="1:5">
      <c r="A1" s="1" t="s">
        <v>0</v>
      </c>
    </row>
    <row r="3" ht="18" spans="1:5">
      <c r="A3" s="3" t="s">
        <v>1</v>
      </c>
    </row>
    <row r="4" spans="1:5">
      <c r="A4" s="18" t="s">
        <v>2</v>
      </c>
      <c r="C4" t="s">
        <v>3</v>
      </c>
    </row>
    <row r="5" spans="1:5">
      <c r="A5" s="18" t="s">
        <v>4</v>
      </c>
      <c r="C5" t="s">
        <v>5</v>
      </c>
    </row>
    <row r="6" spans="1:5">
      <c r="A6" s="18" t="s">
        <v>6</v>
      </c>
      <c r="C6" s="19" t="s">
        <v>7</v>
      </c>
    </row>
    <row r="7" spans="1:5">
      <c r="A7" s="18" t="s">
        <v>8</v>
      </c>
      <c r="C7" t="s">
        <v>9</v>
      </c>
    </row>
    <row r="9" ht="18" spans="1:5">
      <c r="A9" s="3" t="s">
        <v>10</v>
      </c>
    </row>
    <row r="10" spans="1:5">
      <c r="A10" s="18" t="s">
        <v>11</v>
      </c>
      <c r="C10">
        <v>55</v>
      </c>
    </row>
    <row r="11" spans="1:5">
      <c r="A11" s="18" t="s">
        <v>12</v>
      </c>
      <c r="C11" s="20">
        <v>8</v>
      </c>
    </row>
    <row r="12" spans="1:5">
      <c r="A12" s="18" t="s">
        <v>13</v>
      </c>
      <c r="C12" s="21">
        <f>C11/C10</f>
        <v>0.145454545454545</v>
      </c>
      <c r="E12" s="22" t="s">
        <v>14</v>
      </c>
    </row>
    <row r="13" spans="1:5">
      <c r="A13" s="18" t="s">
        <v>15</v>
      </c>
      <c r="C13" s="20">
        <v>2</v>
      </c>
    </row>
    <row r="15" ht="18" spans="1:5">
      <c r="A15" s="3" t="s">
        <v>16</v>
      </c>
    </row>
    <row r="16" spans="1:5">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t="s">
        <v>32</v>
      </c>
      <c r="B20" s="14" t="s">
        <v>33</v>
      </c>
      <c r="C20" s="14" t="s">
        <v>33</v>
      </c>
      <c r="D20" s="14" t="s">
        <v>33</v>
      </c>
    </row>
    <row r="22" ht="18" spans="1:4">
      <c r="A22" s="3" t="s">
        <v>34</v>
      </c>
    </row>
    <row r="23" spans="1:4">
      <c r="A23" s="4" t="s">
        <v>35</v>
      </c>
      <c r="B23" s="4" t="s">
        <v>36</v>
      </c>
      <c r="C23" s="4" t="s">
        <v>37</v>
      </c>
    </row>
    <row r="24" spans="1:4">
      <c r="A24" s="14" t="s">
        <v>38</v>
      </c>
      <c r="B24" s="23">
        <v>2</v>
      </c>
      <c r="C24" s="13" t="s">
        <v>39</v>
      </c>
    </row>
    <row r="25" spans="1:4">
      <c r="A25" s="14" t="s">
        <v>40</v>
      </c>
      <c r="B25" s="23">
        <v>2</v>
      </c>
      <c r="C25" s="13" t="s">
        <v>39</v>
      </c>
    </row>
    <row r="26" spans="1:4">
      <c r="A26" s="14" t="s">
        <v>41</v>
      </c>
      <c r="B26" s="23">
        <v>2</v>
      </c>
      <c r="C26" s="13" t="s">
        <v>39</v>
      </c>
    </row>
    <row r="27" spans="1:4">
      <c r="A27" s="14" t="s">
        <v>42</v>
      </c>
      <c r="B27" s="23">
        <v>2</v>
      </c>
      <c r="C27" s="13" t="s">
        <v>39</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72" zoomScaleNormal="72" topLeftCell="A10" workbookViewId="0">
      <selection activeCell="A11" sqref="$A11:$XFD11"/>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8.1111111111111" customWidth="1"/>
  </cols>
  <sheetData>
    <row r="1" ht="21" spans="1:8">
      <c r="A1" s="1" t="s">
        <v>43</v>
      </c>
    </row>
    <row r="2" ht="30" customHeight="1" spans="1:8">
      <c r="A2" s="17" t="s">
        <v>44</v>
      </c>
    </row>
    <row r="3" ht="40" customHeight="1" spans="1:8">
      <c r="A3" s="4" t="s">
        <v>45</v>
      </c>
      <c r="B3" s="4" t="s">
        <v>46</v>
      </c>
      <c r="C3" s="4" t="s">
        <v>47</v>
      </c>
      <c r="D3" s="4" t="s">
        <v>48</v>
      </c>
      <c r="E3" s="4" t="s">
        <v>49</v>
      </c>
      <c r="F3" s="4" t="s">
        <v>50</v>
      </c>
      <c r="G3" s="4" t="s">
        <v>51</v>
      </c>
      <c r="H3" s="4" t="s">
        <v>52</v>
      </c>
    </row>
    <row r="4" ht="133" customHeight="1" spans="1:8">
      <c r="A4" s="14">
        <v>1</v>
      </c>
      <c r="B4" s="14" t="s">
        <v>53</v>
      </c>
      <c r="C4" s="14" t="s">
        <v>38</v>
      </c>
      <c r="D4" s="14" t="s">
        <v>54</v>
      </c>
      <c r="E4" s="14" t="s">
        <v>55</v>
      </c>
      <c r="F4" s="14" t="s">
        <v>56</v>
      </c>
      <c r="G4" s="14" t="s">
        <v>57</v>
      </c>
      <c r="H4" s="14" t="s">
        <v>58</v>
      </c>
    </row>
    <row r="5" ht="217" customHeight="1" spans="1:8">
      <c r="A5" s="14">
        <v>2</v>
      </c>
      <c r="B5" s="14" t="s">
        <v>53</v>
      </c>
      <c r="C5" s="14" t="s">
        <v>38</v>
      </c>
      <c r="D5" s="14" t="s">
        <v>59</v>
      </c>
      <c r="E5" s="14" t="s">
        <v>60</v>
      </c>
      <c r="F5" s="14" t="s">
        <v>61</v>
      </c>
      <c r="G5" s="14" t="s">
        <v>62</v>
      </c>
      <c r="H5" s="14" t="s">
        <v>63</v>
      </c>
    </row>
    <row r="6" ht="177" customHeight="1" spans="1:8">
      <c r="A6" s="14">
        <v>3</v>
      </c>
      <c r="B6" s="14" t="s">
        <v>64</v>
      </c>
      <c r="C6" s="14" t="s">
        <v>41</v>
      </c>
      <c r="D6" s="14" t="s">
        <v>65</v>
      </c>
      <c r="E6" s="14" t="s">
        <v>66</v>
      </c>
      <c r="F6" s="14" t="s">
        <v>67</v>
      </c>
      <c r="G6" s="14" t="s">
        <v>68</v>
      </c>
      <c r="H6" s="14" t="s">
        <v>69</v>
      </c>
    </row>
    <row r="7" ht="219" customHeight="1" spans="1:8">
      <c r="A7" s="14">
        <v>4</v>
      </c>
      <c r="B7" s="14" t="s">
        <v>53</v>
      </c>
      <c r="C7" s="14" t="s">
        <v>41</v>
      </c>
      <c r="D7" s="14" t="s">
        <v>70</v>
      </c>
      <c r="E7" s="14" t="s">
        <v>71</v>
      </c>
      <c r="F7" s="14" t="s">
        <v>72</v>
      </c>
      <c r="G7" s="14" t="s">
        <v>73</v>
      </c>
      <c r="H7" s="14" t="s">
        <v>74</v>
      </c>
    </row>
    <row r="8" ht="193" customHeight="1" spans="1:8">
      <c r="A8" s="14">
        <v>5</v>
      </c>
      <c r="B8" s="14" t="s">
        <v>64</v>
      </c>
      <c r="C8" s="14" t="s">
        <v>40</v>
      </c>
      <c r="D8" s="14" t="s">
        <v>75</v>
      </c>
      <c r="E8" s="14" t="s">
        <v>76</v>
      </c>
      <c r="F8" s="14" t="s">
        <v>77</v>
      </c>
      <c r="G8" s="14" t="s">
        <v>78</v>
      </c>
      <c r="H8" s="14" t="s">
        <v>79</v>
      </c>
    </row>
    <row r="9" ht="210" customHeight="1" spans="1:8">
      <c r="A9" s="14">
        <v>6</v>
      </c>
      <c r="B9" s="14" t="s">
        <v>53</v>
      </c>
      <c r="C9" s="14" t="s">
        <v>42</v>
      </c>
      <c r="D9" s="14" t="s">
        <v>80</v>
      </c>
      <c r="E9" s="14" t="s">
        <v>81</v>
      </c>
      <c r="F9" s="14" t="s">
        <v>82</v>
      </c>
      <c r="G9" s="14" t="s">
        <v>83</v>
      </c>
      <c r="H9" s="14" t="s">
        <v>84</v>
      </c>
    </row>
    <row r="10" ht="173" customHeight="1" spans="1:8">
      <c r="A10" s="14">
        <v>7</v>
      </c>
      <c r="B10" s="14" t="s">
        <v>85</v>
      </c>
      <c r="C10" s="14" t="s">
        <v>42</v>
      </c>
      <c r="D10" s="14" t="s">
        <v>86</v>
      </c>
      <c r="E10" s="14" t="s">
        <v>87</v>
      </c>
      <c r="F10" s="14" t="s">
        <v>88</v>
      </c>
      <c r="G10" s="14" t="s">
        <v>89</v>
      </c>
      <c r="H10" s="14" t="s">
        <v>90</v>
      </c>
    </row>
    <row r="11" ht="192" customHeight="1" spans="1:8">
      <c r="A11" s="14">
        <v>8</v>
      </c>
      <c r="B11" s="14" t="s">
        <v>85</v>
      </c>
      <c r="C11" s="14" t="s">
        <v>40</v>
      </c>
      <c r="D11" s="14" t="s">
        <v>91</v>
      </c>
      <c r="E11" s="14" t="s">
        <v>92</v>
      </c>
      <c r="F11" s="14" t="s">
        <v>93</v>
      </c>
      <c r="G11" s="14" t="s">
        <v>94</v>
      </c>
      <c r="H11" s="14" t="s">
        <v>95</v>
      </c>
    </row>
    <row r="12" ht="80" customHeight="1" spans="1:8">
      <c r="A12" s="14"/>
      <c r="B12" s="14"/>
      <c r="C12" s="14"/>
      <c r="D12" s="14"/>
      <c r="E12" s="14"/>
      <c r="F12" s="14"/>
      <c r="G12" s="14"/>
      <c r="H12" s="14"/>
    </row>
    <row r="13" ht="80" customHeight="1" spans="1:8">
      <c r="A13" s="14"/>
      <c r="B13" s="14"/>
      <c r="C13" s="14"/>
      <c r="D13" s="14"/>
      <c r="E13" s="14"/>
      <c r="F13" s="14"/>
      <c r="G13" s="14"/>
      <c r="H13" s="14"/>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E5" sqref="E5"/>
    </sheetView>
  </sheetViews>
  <sheetFormatPr defaultColWidth="9" defaultRowHeight="14.4" outlineLevelCol="5"/>
  <cols>
    <col min="1" max="1" width="12" customWidth="1"/>
    <col min="2" max="2" width="22" customWidth="1"/>
    <col min="3" max="6" width="30" customWidth="1"/>
  </cols>
  <sheetData>
    <row r="1" ht="21" spans="1:6">
      <c r="A1" s="15" t="s">
        <v>96</v>
      </c>
    </row>
    <row r="2" spans="1:6">
      <c r="A2" s="16" t="s">
        <v>97</v>
      </c>
    </row>
    <row r="3" ht="40" customHeight="1" spans="1:6">
      <c r="A3" s="4" t="s">
        <v>98</v>
      </c>
      <c r="B3" s="4" t="s">
        <v>99</v>
      </c>
      <c r="C3" s="4" t="s">
        <v>100</v>
      </c>
      <c r="D3" s="4" t="s">
        <v>101</v>
      </c>
      <c r="E3" s="4" t="s">
        <v>102</v>
      </c>
      <c r="F3" s="4" t="s">
        <v>103</v>
      </c>
    </row>
    <row r="4" ht="99" customHeight="1" spans="1:6">
      <c r="A4" s="14">
        <v>7</v>
      </c>
      <c r="B4" s="14" t="s">
        <v>104</v>
      </c>
      <c r="C4" s="14" t="s">
        <v>105</v>
      </c>
      <c r="D4" s="14" t="s">
        <v>106</v>
      </c>
      <c r="E4" s="14" t="s">
        <v>107</v>
      </c>
      <c r="F4" s="14" t="s">
        <v>108</v>
      </c>
    </row>
    <row r="5" ht="104" customHeight="1" spans="1:6">
      <c r="A5" s="14">
        <v>8</v>
      </c>
      <c r="B5" s="14" t="s">
        <v>104</v>
      </c>
      <c r="C5" s="14" t="s">
        <v>109</v>
      </c>
      <c r="D5" s="14" t="s">
        <v>110</v>
      </c>
      <c r="E5" s="14" t="s">
        <v>111</v>
      </c>
      <c r="F5" s="14" t="s">
        <v>112</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spans="1:6">
      <c r="A30" s="3" t="s">
        <v>113</v>
      </c>
    </row>
    <row r="31" spans="1:6">
      <c r="A31" s="12" t="s">
        <v>114</v>
      </c>
      <c r="B31" s="12" t="s">
        <v>115</v>
      </c>
      <c r="C31" s="12" t="s">
        <v>116</v>
      </c>
    </row>
    <row r="32" ht="28.8" spans="1:6">
      <c r="A32" s="14" t="s">
        <v>104</v>
      </c>
      <c r="B32" s="14" t="s">
        <v>117</v>
      </c>
      <c r="C32" s="14" t="s">
        <v>118</v>
      </c>
    </row>
    <row r="33" ht="28.8" spans="1:3">
      <c r="A33" s="14" t="s">
        <v>119</v>
      </c>
      <c r="B33" s="14" t="s">
        <v>120</v>
      </c>
      <c r="C33" s="14" t="s">
        <v>121</v>
      </c>
    </row>
    <row r="34" ht="28.8" spans="1:3">
      <c r="A34" s="14" t="s">
        <v>122</v>
      </c>
      <c r="B34" s="14" t="s">
        <v>123</v>
      </c>
      <c r="C34" s="14" t="s">
        <v>124</v>
      </c>
    </row>
    <row r="35" ht="28.8" spans="1:3">
      <c r="A35" s="14" t="s">
        <v>125</v>
      </c>
      <c r="B35" s="14" t="s">
        <v>126</v>
      </c>
      <c r="C35" s="14" t="s">
        <v>127</v>
      </c>
    </row>
    <row r="36" ht="43.2" spans="1:3">
      <c r="A36" s="14" t="s">
        <v>128</v>
      </c>
      <c r="B36" s="14" t="s">
        <v>129</v>
      </c>
      <c r="C36" s="14" t="s">
        <v>130</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G19" sqref="G19"/>
    </sheetView>
  </sheetViews>
  <sheetFormatPr defaultColWidth="9" defaultRowHeight="14.4" outlineLevelCol="3"/>
  <cols>
    <col min="1" max="1" width="8" customWidth="1"/>
    <col min="2" max="2" width="60" customWidth="1"/>
    <col min="3" max="3" width="10" customWidth="1"/>
    <col min="4" max="4" width="30" customWidth="1"/>
  </cols>
  <sheetData>
    <row r="1" ht="21" spans="1:4">
      <c r="A1" s="1" t="s">
        <v>131</v>
      </c>
    </row>
    <row r="2" spans="1:4">
      <c r="A2" s="2" t="s">
        <v>132</v>
      </c>
    </row>
    <row r="4" ht="18" spans="1:4">
      <c r="A4" s="3" t="s">
        <v>133</v>
      </c>
    </row>
    <row r="5" spans="1:4">
      <c r="A5" s="4" t="s">
        <v>134</v>
      </c>
      <c r="B5" s="5" t="s">
        <v>135</v>
      </c>
      <c r="C5" s="4" t="s">
        <v>136</v>
      </c>
      <c r="D5" s="5" t="s">
        <v>137</v>
      </c>
    </row>
    <row r="6" spans="1:4">
      <c r="A6" s="6" t="s">
        <v>138</v>
      </c>
      <c r="B6" s="7" t="s">
        <v>139</v>
      </c>
      <c r="C6" s="6" t="s">
        <v>140</v>
      </c>
      <c r="D6" s="7" t="s">
        <v>33</v>
      </c>
    </row>
    <row r="7" spans="1:4">
      <c r="A7" s="6" t="s">
        <v>141</v>
      </c>
      <c r="B7" s="7" t="s">
        <v>142</v>
      </c>
      <c r="C7" s="6" t="s">
        <v>140</v>
      </c>
      <c r="D7" s="7" t="s">
        <v>33</v>
      </c>
    </row>
    <row r="8" spans="1:4">
      <c r="A8" s="6" t="s">
        <v>143</v>
      </c>
      <c r="B8" s="7" t="s">
        <v>144</v>
      </c>
      <c r="C8" s="6" t="s">
        <v>140</v>
      </c>
      <c r="D8" s="7" t="s">
        <v>33</v>
      </c>
    </row>
    <row r="9" spans="1:4">
      <c r="A9" s="6" t="s">
        <v>145</v>
      </c>
      <c r="B9" s="7" t="s">
        <v>146</v>
      </c>
      <c r="C9" s="6" t="s">
        <v>140</v>
      </c>
      <c r="D9" s="7" t="s">
        <v>33</v>
      </c>
    </row>
    <row r="10" spans="1:4">
      <c r="A10" s="6" t="s">
        <v>147</v>
      </c>
      <c r="B10" s="7" t="s">
        <v>148</v>
      </c>
      <c r="C10" s="6" t="s">
        <v>140</v>
      </c>
      <c r="D10" s="7" t="s">
        <v>33</v>
      </c>
    </row>
    <row r="12" ht="18" spans="1:4">
      <c r="A12" s="3" t="s">
        <v>149</v>
      </c>
    </row>
    <row r="13" spans="1:4">
      <c r="A13" s="4" t="s">
        <v>134</v>
      </c>
      <c r="B13" s="5" t="s">
        <v>135</v>
      </c>
      <c r="C13" s="4" t="s">
        <v>136</v>
      </c>
      <c r="D13" s="5" t="s">
        <v>150</v>
      </c>
    </row>
    <row r="14" spans="1:4">
      <c r="A14" s="6" t="s">
        <v>138</v>
      </c>
      <c r="B14" s="7" t="s">
        <v>151</v>
      </c>
      <c r="C14" s="6" t="s">
        <v>140</v>
      </c>
      <c r="D14" s="7" t="s">
        <v>152</v>
      </c>
    </row>
    <row r="15" spans="1:4">
      <c r="A15" s="6" t="s">
        <v>141</v>
      </c>
      <c r="B15" s="7" t="s">
        <v>153</v>
      </c>
      <c r="C15" s="6" t="s">
        <v>140</v>
      </c>
      <c r="D15" s="7" t="s">
        <v>154</v>
      </c>
    </row>
    <row r="16" spans="1:4">
      <c r="A16" s="6" t="s">
        <v>143</v>
      </c>
      <c r="B16" s="7" t="s">
        <v>155</v>
      </c>
      <c r="C16" s="6" t="s">
        <v>140</v>
      </c>
      <c r="D16" s="7" t="s">
        <v>156</v>
      </c>
    </row>
    <row r="17" spans="1:4">
      <c r="A17" s="6" t="s">
        <v>145</v>
      </c>
      <c r="B17" s="7" t="s">
        <v>157</v>
      </c>
      <c r="C17" s="6" t="s">
        <v>140</v>
      </c>
      <c r="D17" s="7" t="s">
        <v>158</v>
      </c>
    </row>
    <row r="18" spans="1:4">
      <c r="A18" s="6" t="s">
        <v>147</v>
      </c>
      <c r="B18" s="7" t="s">
        <v>159</v>
      </c>
      <c r="C18" s="6" t="s">
        <v>140</v>
      </c>
      <c r="D18" s="7" t="s">
        <v>160</v>
      </c>
    </row>
    <row r="20" ht="15.6" spans="1:4">
      <c r="A20" s="8" t="s">
        <v>161</v>
      </c>
    </row>
    <row r="21" spans="1:4">
      <c r="A21" s="9" t="s">
        <v>162</v>
      </c>
    </row>
    <row r="22" spans="1:4">
      <c r="A22" s="9" t="s">
        <v>163</v>
      </c>
    </row>
    <row r="25" ht="18" spans="1:4">
      <c r="A25" s="3" t="s">
        <v>164</v>
      </c>
    </row>
    <row r="26" spans="1:4">
      <c r="A26" s="10" t="s">
        <v>165</v>
      </c>
    </row>
    <row r="27" ht="43.2" spans="1:4">
      <c r="A27" s="11" t="s">
        <v>45</v>
      </c>
      <c r="B27" s="12" t="s">
        <v>166</v>
      </c>
      <c r="C27" s="12" t="s">
        <v>167</v>
      </c>
      <c r="D27" s="12" t="s">
        <v>168</v>
      </c>
    </row>
    <row r="28" spans="1:4">
      <c r="A28" s="13" t="s">
        <v>169</v>
      </c>
      <c r="B28" s="14" t="s">
        <v>140</v>
      </c>
      <c r="C28" s="14" t="s">
        <v>140</v>
      </c>
      <c r="D28" s="14" t="s">
        <v>140</v>
      </c>
    </row>
    <row r="29" spans="1:4">
      <c r="A29" s="13" t="s">
        <v>170</v>
      </c>
      <c r="B29" s="14" t="s">
        <v>140</v>
      </c>
      <c r="C29" s="14" t="s">
        <v>140</v>
      </c>
      <c r="D29" s="14" t="s">
        <v>140</v>
      </c>
    </row>
    <row r="30" spans="1:4">
      <c r="A30" s="13" t="s">
        <v>171</v>
      </c>
      <c r="B30" s="14" t="s">
        <v>140</v>
      </c>
      <c r="C30" s="14" t="s">
        <v>140</v>
      </c>
      <c r="D30" s="14" t="s">
        <v>140</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Nguyễn</cp:lastModifiedBy>
  <dcterms:created xsi:type="dcterms:W3CDTF">2026-05-07T22:28:00Z</dcterms:created>
  <dcterms:modified xsi:type="dcterms:W3CDTF">2026-06-17T06:52:50Z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D220901638A74D469AC3F82FAB4A2DDF_13</vt:lpwstr>
  </property>
  <property fmtid="{D5CDD505-2E9C-101B-9397-08002B2CF9AE}" pid="3" name="KSOProductBuildVer">
    <vt:lpwstr>1033-12.1.0.26880</vt:lpwstr>
  </property>
  <property fmtid="{D5CDD505-2E9C-101B-9397-08002B2CF9AE}" pid="4" name="CalculationRule">
    <vt:i4>0</vt:i4>
  </property>
</Properties>
</file>